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sra\Downloads\"/>
    </mc:Choice>
  </mc:AlternateContent>
  <bookViews>
    <workbookView xWindow="0" yWindow="0" windowWidth="16380" windowHeight="8196" tabRatio="500" firstSheet="2" activeTab="7"/>
  </bookViews>
  <sheets>
    <sheet name="Raw_Data" sheetId="1" r:id="rId1"/>
    <sheet name="Calculations" sheetId="2" r:id="rId2"/>
    <sheet name="Assumptions" sheetId="3" r:id="rId3"/>
    <sheet name="Financial_Model" sheetId="4" r:id="rId4"/>
    <sheet name="Valuation_DCF" sheetId="5" r:id="rId5"/>
    <sheet name="Comps" sheetId="6" r:id="rId6"/>
    <sheet name="Analysis" sheetId="7" r:id="rId7"/>
    <sheet name="Dashboard" sheetId="8" r:id="rId8"/>
  </sheets>
  <definedNames>
    <definedName name="_xlchart.0" hidden="1">Valuation_DCF!$A$3:$A$7</definedName>
    <definedName name="_xlchart.1" hidden="1">Valuation_DCF!$B$3:$B$7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8" l="1"/>
  <c r="D8" i="8" l="1"/>
  <c r="C8" i="8"/>
  <c r="B8" i="8"/>
  <c r="E9" i="6"/>
  <c r="E11" i="6" s="1"/>
  <c r="F8" i="6"/>
  <c r="E8" i="6"/>
  <c r="E10" i="6" s="1"/>
  <c r="C8" i="6"/>
  <c r="B8" i="6"/>
  <c r="G7" i="6"/>
  <c r="D7" i="6"/>
  <c r="G6" i="6"/>
  <c r="D6" i="6"/>
  <c r="G5" i="6"/>
  <c r="D5" i="6"/>
  <c r="G4" i="6"/>
  <c r="G8" i="6" s="1"/>
  <c r="D4" i="6"/>
  <c r="G3" i="6"/>
  <c r="D3" i="6"/>
  <c r="C7" i="5"/>
  <c r="C6" i="5"/>
  <c r="C5" i="5"/>
  <c r="C4" i="5"/>
  <c r="C3" i="5"/>
  <c r="G15" i="4"/>
  <c r="F15" i="4"/>
  <c r="E15" i="4"/>
  <c r="D15" i="4"/>
  <c r="C15" i="4"/>
  <c r="B15" i="4"/>
  <c r="G12" i="4"/>
  <c r="F12" i="4"/>
  <c r="E12" i="4"/>
  <c r="D12" i="4"/>
  <c r="C12" i="4"/>
  <c r="B12" i="4"/>
  <c r="F25" i="2"/>
  <c r="F24" i="2"/>
  <c r="F23" i="2"/>
  <c r="F17" i="2"/>
  <c r="F16" i="2"/>
  <c r="F15" i="2"/>
  <c r="F14" i="2"/>
  <c r="F13" i="2"/>
  <c r="F18" i="2" s="1"/>
  <c r="B7" i="2"/>
  <c r="H104" i="1"/>
  <c r="G104" i="1"/>
  <c r="F104" i="1"/>
  <c r="E104" i="1"/>
  <c r="L103" i="1"/>
  <c r="J103" i="1"/>
  <c r="K103" i="1" s="1"/>
  <c r="I103" i="1"/>
  <c r="J102" i="1"/>
  <c r="K102" i="1" s="1"/>
  <c r="L102" i="1" s="1"/>
  <c r="I102" i="1"/>
  <c r="L101" i="1"/>
  <c r="J101" i="1"/>
  <c r="K101" i="1" s="1"/>
  <c r="I101" i="1"/>
  <c r="L100" i="1"/>
  <c r="J100" i="1"/>
  <c r="K100" i="1" s="1"/>
  <c r="I100" i="1"/>
  <c r="L99" i="1"/>
  <c r="J99" i="1"/>
  <c r="K99" i="1" s="1"/>
  <c r="I99" i="1"/>
  <c r="J98" i="1"/>
  <c r="K98" i="1" s="1"/>
  <c r="L98" i="1" s="1"/>
  <c r="I98" i="1"/>
  <c r="L97" i="1"/>
  <c r="J97" i="1"/>
  <c r="K97" i="1" s="1"/>
  <c r="I97" i="1"/>
  <c r="L96" i="1"/>
  <c r="J96" i="1"/>
  <c r="K96" i="1" s="1"/>
  <c r="I96" i="1"/>
  <c r="L95" i="1"/>
  <c r="J95" i="1"/>
  <c r="K95" i="1" s="1"/>
  <c r="I95" i="1"/>
  <c r="K94" i="1"/>
  <c r="L94" i="1" s="1"/>
  <c r="J94" i="1"/>
  <c r="I94" i="1"/>
  <c r="K93" i="1"/>
  <c r="L93" i="1" s="1"/>
  <c r="J93" i="1"/>
  <c r="I93" i="1"/>
  <c r="K92" i="1"/>
  <c r="L92" i="1" s="1"/>
  <c r="J92" i="1"/>
  <c r="I92" i="1"/>
  <c r="K91" i="1"/>
  <c r="L91" i="1" s="1"/>
  <c r="J91" i="1"/>
  <c r="I91" i="1"/>
  <c r="K90" i="1"/>
  <c r="L90" i="1" s="1"/>
  <c r="J90" i="1"/>
  <c r="I90" i="1"/>
  <c r="K89" i="1"/>
  <c r="L89" i="1" s="1"/>
  <c r="J89" i="1"/>
  <c r="I89" i="1"/>
  <c r="K88" i="1"/>
  <c r="L88" i="1" s="1"/>
  <c r="J88" i="1"/>
  <c r="I88" i="1"/>
  <c r="K87" i="1"/>
  <c r="L87" i="1" s="1"/>
  <c r="J87" i="1"/>
  <c r="I87" i="1"/>
  <c r="K86" i="1"/>
  <c r="L86" i="1" s="1"/>
  <c r="J86" i="1"/>
  <c r="I86" i="1"/>
  <c r="K85" i="1"/>
  <c r="L85" i="1" s="1"/>
  <c r="J85" i="1"/>
  <c r="I85" i="1"/>
  <c r="K84" i="1"/>
  <c r="L84" i="1" s="1"/>
  <c r="J84" i="1"/>
  <c r="I84" i="1"/>
  <c r="K83" i="1"/>
  <c r="L83" i="1" s="1"/>
  <c r="J83" i="1"/>
  <c r="I83" i="1"/>
  <c r="K82" i="1"/>
  <c r="L82" i="1" s="1"/>
  <c r="J82" i="1"/>
  <c r="I82" i="1"/>
  <c r="K81" i="1"/>
  <c r="L81" i="1" s="1"/>
  <c r="J81" i="1"/>
  <c r="I81" i="1"/>
  <c r="K80" i="1"/>
  <c r="L80" i="1" s="1"/>
  <c r="J80" i="1"/>
  <c r="I80" i="1"/>
  <c r="K79" i="1"/>
  <c r="L79" i="1" s="1"/>
  <c r="J79" i="1"/>
  <c r="I79" i="1"/>
  <c r="K78" i="1"/>
  <c r="L78" i="1" s="1"/>
  <c r="J78" i="1"/>
  <c r="I78" i="1"/>
  <c r="K77" i="1"/>
  <c r="L77" i="1" s="1"/>
  <c r="J77" i="1"/>
  <c r="I77" i="1"/>
  <c r="K76" i="1"/>
  <c r="L76" i="1" s="1"/>
  <c r="J76" i="1"/>
  <c r="I76" i="1"/>
  <c r="K75" i="1"/>
  <c r="L75" i="1" s="1"/>
  <c r="J75" i="1"/>
  <c r="I75" i="1"/>
  <c r="K74" i="1"/>
  <c r="L74" i="1" s="1"/>
  <c r="J74" i="1"/>
  <c r="I74" i="1"/>
  <c r="K73" i="1"/>
  <c r="L73" i="1" s="1"/>
  <c r="J73" i="1"/>
  <c r="I73" i="1"/>
  <c r="K72" i="1"/>
  <c r="L72" i="1" s="1"/>
  <c r="J72" i="1"/>
  <c r="I72" i="1"/>
  <c r="K71" i="1"/>
  <c r="L71" i="1" s="1"/>
  <c r="J71" i="1"/>
  <c r="I71" i="1"/>
  <c r="K70" i="1"/>
  <c r="L70" i="1" s="1"/>
  <c r="J70" i="1"/>
  <c r="I70" i="1"/>
  <c r="K69" i="1"/>
  <c r="L69" i="1" s="1"/>
  <c r="J69" i="1"/>
  <c r="I69" i="1"/>
  <c r="K68" i="1"/>
  <c r="L68" i="1" s="1"/>
  <c r="J68" i="1"/>
  <c r="I68" i="1"/>
  <c r="K67" i="1"/>
  <c r="L67" i="1" s="1"/>
  <c r="J67" i="1"/>
  <c r="I67" i="1"/>
  <c r="K66" i="1"/>
  <c r="L66" i="1" s="1"/>
  <c r="J66" i="1"/>
  <c r="I66" i="1"/>
  <c r="K65" i="1"/>
  <c r="L65" i="1" s="1"/>
  <c r="J65" i="1"/>
  <c r="I65" i="1"/>
  <c r="K64" i="1"/>
  <c r="L64" i="1" s="1"/>
  <c r="J64" i="1"/>
  <c r="I64" i="1"/>
  <c r="K63" i="1"/>
  <c r="L63" i="1" s="1"/>
  <c r="J63" i="1"/>
  <c r="I63" i="1"/>
  <c r="K62" i="1"/>
  <c r="L62" i="1" s="1"/>
  <c r="J62" i="1"/>
  <c r="I62" i="1"/>
  <c r="K61" i="1"/>
  <c r="L61" i="1" s="1"/>
  <c r="J61" i="1"/>
  <c r="I61" i="1"/>
  <c r="K60" i="1"/>
  <c r="L60" i="1" s="1"/>
  <c r="J60" i="1"/>
  <c r="I60" i="1"/>
  <c r="K59" i="1"/>
  <c r="L59" i="1" s="1"/>
  <c r="J59" i="1"/>
  <c r="I59" i="1"/>
  <c r="K58" i="1"/>
  <c r="L58" i="1" s="1"/>
  <c r="J58" i="1"/>
  <c r="I58" i="1"/>
  <c r="K57" i="1"/>
  <c r="L57" i="1" s="1"/>
  <c r="J57" i="1"/>
  <c r="I57" i="1"/>
  <c r="K56" i="1"/>
  <c r="L56" i="1" s="1"/>
  <c r="J56" i="1"/>
  <c r="I56" i="1"/>
  <c r="K55" i="1"/>
  <c r="L55" i="1" s="1"/>
  <c r="J55" i="1"/>
  <c r="I55" i="1"/>
  <c r="K54" i="1"/>
  <c r="L54" i="1" s="1"/>
  <c r="J54" i="1"/>
  <c r="I54" i="1"/>
  <c r="K53" i="1"/>
  <c r="L53" i="1" s="1"/>
  <c r="J53" i="1"/>
  <c r="I53" i="1"/>
  <c r="K52" i="1"/>
  <c r="L52" i="1" s="1"/>
  <c r="J52" i="1"/>
  <c r="I52" i="1"/>
  <c r="K51" i="1"/>
  <c r="L51" i="1" s="1"/>
  <c r="J51" i="1"/>
  <c r="I51" i="1"/>
  <c r="K50" i="1"/>
  <c r="L50" i="1" s="1"/>
  <c r="J50" i="1"/>
  <c r="I50" i="1"/>
  <c r="K49" i="1"/>
  <c r="L49" i="1" s="1"/>
  <c r="J49" i="1"/>
  <c r="I49" i="1"/>
  <c r="K48" i="1"/>
  <c r="L48" i="1" s="1"/>
  <c r="J48" i="1"/>
  <c r="I48" i="1"/>
  <c r="K47" i="1"/>
  <c r="L47" i="1" s="1"/>
  <c r="J47" i="1"/>
  <c r="I47" i="1"/>
  <c r="K46" i="1"/>
  <c r="L46" i="1" s="1"/>
  <c r="J46" i="1"/>
  <c r="I46" i="1"/>
  <c r="K45" i="1"/>
  <c r="L45" i="1" s="1"/>
  <c r="J45" i="1"/>
  <c r="I45" i="1"/>
  <c r="K44" i="1"/>
  <c r="L44" i="1" s="1"/>
  <c r="J44" i="1"/>
  <c r="I44" i="1"/>
  <c r="K43" i="1"/>
  <c r="L43" i="1" s="1"/>
  <c r="J43" i="1"/>
  <c r="I43" i="1"/>
  <c r="K42" i="1"/>
  <c r="L42" i="1" s="1"/>
  <c r="J42" i="1"/>
  <c r="I42" i="1"/>
  <c r="K41" i="1"/>
  <c r="L41" i="1" s="1"/>
  <c r="J41" i="1"/>
  <c r="I41" i="1"/>
  <c r="K40" i="1"/>
  <c r="L40" i="1" s="1"/>
  <c r="J40" i="1"/>
  <c r="I40" i="1"/>
  <c r="K39" i="1"/>
  <c r="L39" i="1" s="1"/>
  <c r="J39" i="1"/>
  <c r="I39" i="1"/>
  <c r="K38" i="1"/>
  <c r="L38" i="1" s="1"/>
  <c r="J38" i="1"/>
  <c r="I38" i="1"/>
  <c r="K37" i="1"/>
  <c r="L37" i="1" s="1"/>
  <c r="J37" i="1"/>
  <c r="I37" i="1"/>
  <c r="K36" i="1"/>
  <c r="L36" i="1" s="1"/>
  <c r="J36" i="1"/>
  <c r="I36" i="1"/>
  <c r="K35" i="1"/>
  <c r="L35" i="1" s="1"/>
  <c r="J35" i="1"/>
  <c r="I35" i="1"/>
  <c r="K34" i="1"/>
  <c r="L34" i="1" s="1"/>
  <c r="J34" i="1"/>
  <c r="I34" i="1"/>
  <c r="K33" i="1"/>
  <c r="L33" i="1" s="1"/>
  <c r="J33" i="1"/>
  <c r="I33" i="1"/>
  <c r="K32" i="1"/>
  <c r="L32" i="1" s="1"/>
  <c r="J32" i="1"/>
  <c r="I32" i="1"/>
  <c r="K31" i="1"/>
  <c r="L31" i="1" s="1"/>
  <c r="J31" i="1"/>
  <c r="I31" i="1"/>
  <c r="K30" i="1"/>
  <c r="L30" i="1" s="1"/>
  <c r="J30" i="1"/>
  <c r="I30" i="1"/>
  <c r="K29" i="1"/>
  <c r="L29" i="1" s="1"/>
  <c r="J29" i="1"/>
  <c r="I29" i="1"/>
  <c r="K28" i="1"/>
  <c r="L28" i="1" s="1"/>
  <c r="J28" i="1"/>
  <c r="I28" i="1"/>
  <c r="K27" i="1"/>
  <c r="L27" i="1" s="1"/>
  <c r="J27" i="1"/>
  <c r="I27" i="1"/>
  <c r="K26" i="1"/>
  <c r="L26" i="1" s="1"/>
  <c r="J26" i="1"/>
  <c r="I26" i="1"/>
  <c r="K25" i="1"/>
  <c r="L25" i="1" s="1"/>
  <c r="J25" i="1"/>
  <c r="I25" i="1"/>
  <c r="K24" i="1"/>
  <c r="L24" i="1" s="1"/>
  <c r="J24" i="1"/>
  <c r="I24" i="1"/>
  <c r="K23" i="1"/>
  <c r="L23" i="1" s="1"/>
  <c r="J23" i="1"/>
  <c r="I23" i="1"/>
  <c r="K22" i="1"/>
  <c r="L22" i="1" s="1"/>
  <c r="J22" i="1"/>
  <c r="I22" i="1"/>
  <c r="K21" i="1"/>
  <c r="L21" i="1" s="1"/>
  <c r="J21" i="1"/>
  <c r="I21" i="1"/>
  <c r="K20" i="1"/>
  <c r="L20" i="1" s="1"/>
  <c r="J20" i="1"/>
  <c r="I20" i="1"/>
  <c r="K19" i="1"/>
  <c r="L19" i="1" s="1"/>
  <c r="J19" i="1"/>
  <c r="I19" i="1"/>
  <c r="K18" i="1"/>
  <c r="L18" i="1" s="1"/>
  <c r="J18" i="1"/>
  <c r="I18" i="1"/>
  <c r="K17" i="1"/>
  <c r="L17" i="1" s="1"/>
  <c r="J17" i="1"/>
  <c r="I17" i="1"/>
  <c r="K16" i="1"/>
  <c r="L16" i="1" s="1"/>
  <c r="J16" i="1"/>
  <c r="I16" i="1"/>
  <c r="K15" i="1"/>
  <c r="L15" i="1" s="1"/>
  <c r="J15" i="1"/>
  <c r="I15" i="1"/>
  <c r="K14" i="1"/>
  <c r="L14" i="1" s="1"/>
  <c r="J14" i="1"/>
  <c r="I14" i="1"/>
  <c r="K13" i="1"/>
  <c r="D17" i="2" s="1"/>
  <c r="E17" i="2" s="1"/>
  <c r="J13" i="1"/>
  <c r="I13" i="1"/>
  <c r="B17" i="2" s="1"/>
  <c r="K12" i="1"/>
  <c r="J12" i="1"/>
  <c r="I12" i="1"/>
  <c r="L12" i="1" s="1"/>
  <c r="K11" i="1"/>
  <c r="J11" i="1"/>
  <c r="I11" i="1"/>
  <c r="L11" i="1" s="1"/>
  <c r="K10" i="1"/>
  <c r="J10" i="1"/>
  <c r="I10" i="1"/>
  <c r="L10" i="1" s="1"/>
  <c r="K9" i="1"/>
  <c r="D16" i="2" s="1"/>
  <c r="C12" i="8" s="1"/>
  <c r="J9" i="1"/>
  <c r="C16" i="2" s="1"/>
  <c r="I9" i="1"/>
  <c r="B16" i="2" s="1"/>
  <c r="B12" i="8" s="1"/>
  <c r="K8" i="1"/>
  <c r="C24" i="2" s="1"/>
  <c r="D24" i="2" s="1"/>
  <c r="J8" i="1"/>
  <c r="I8" i="1"/>
  <c r="B24" i="2" s="1"/>
  <c r="K7" i="1"/>
  <c r="C25" i="2" s="1"/>
  <c r="D25" i="2" s="1"/>
  <c r="J7" i="1"/>
  <c r="I7" i="1"/>
  <c r="B25" i="2" s="1"/>
  <c r="K6" i="1"/>
  <c r="D14" i="2" s="1"/>
  <c r="J6" i="1"/>
  <c r="C14" i="2" s="1"/>
  <c r="I6" i="1"/>
  <c r="B14" i="2" s="1"/>
  <c r="B10" i="8" s="1"/>
  <c r="K5" i="1"/>
  <c r="D13" i="2" s="1"/>
  <c r="J5" i="1"/>
  <c r="C13" i="2" s="1"/>
  <c r="I5" i="1"/>
  <c r="B13" i="2" s="1"/>
  <c r="K4" i="1"/>
  <c r="J4" i="1"/>
  <c r="C15" i="2" s="1"/>
  <c r="I4" i="1"/>
  <c r="L4" i="1" s="1"/>
  <c r="H12" i="4" l="1"/>
  <c r="H15" i="4"/>
  <c r="C9" i="8"/>
  <c r="E13" i="2"/>
  <c r="L5" i="1"/>
  <c r="L104" i="1" s="1"/>
  <c r="L6" i="1"/>
  <c r="L7" i="1"/>
  <c r="L8" i="1"/>
  <c r="L9" i="1"/>
  <c r="L13" i="1"/>
  <c r="J104" i="1"/>
  <c r="E16" i="2"/>
  <c r="D12" i="8" s="1"/>
  <c r="D15" i="2"/>
  <c r="C23" i="2"/>
  <c r="B5" i="2"/>
  <c r="K104" i="1"/>
  <c r="B3" i="2"/>
  <c r="I104" i="1"/>
  <c r="B23" i="2"/>
  <c r="B10" i="6"/>
  <c r="C10" i="8"/>
  <c r="E14" i="2"/>
  <c r="D10" i="8" s="1"/>
  <c r="B9" i="8"/>
  <c r="C17" i="2"/>
  <c r="C18" i="2" s="1"/>
  <c r="B4" i="2"/>
  <c r="B15" i="2"/>
  <c r="B11" i="8" s="1"/>
  <c r="C11" i="6"/>
  <c r="C9" i="6"/>
  <c r="C10" i="6" s="1"/>
  <c r="D8" i="6"/>
  <c r="B9" i="6"/>
  <c r="B11" i="6" s="1"/>
  <c r="F9" i="6"/>
  <c r="F10" i="6" s="1"/>
  <c r="G9" i="6"/>
  <c r="D9" i="6"/>
  <c r="D10" i="6" s="1"/>
  <c r="D11" i="6" s="1"/>
  <c r="E15" i="2" l="1"/>
  <c r="D11" i="8" s="1"/>
  <c r="E11" i="8" s="1"/>
  <c r="C11" i="8"/>
  <c r="F11" i="6"/>
  <c r="B18" i="2"/>
  <c r="E23" i="2"/>
  <c r="G10" i="6"/>
  <c r="G11" i="6" s="1"/>
  <c r="D9" i="8"/>
  <c r="E9" i="8" s="1"/>
  <c r="E18" i="2"/>
  <c r="E8" i="8"/>
  <c r="B3" i="4"/>
  <c r="B8" i="2"/>
  <c r="A4" i="8"/>
  <c r="E24" i="2"/>
  <c r="B4" i="4"/>
  <c r="C4" i="4" s="1"/>
  <c r="D4" i="4" s="1"/>
  <c r="E4" i="4" s="1"/>
  <c r="F4" i="4" s="1"/>
  <c r="G4" i="4" s="1"/>
  <c r="H4" i="4" s="1"/>
  <c r="C4" i="8"/>
  <c r="E10" i="8"/>
  <c r="E25" i="2"/>
  <c r="B9" i="2"/>
  <c r="D18" i="2"/>
  <c r="B6" i="2"/>
  <c r="E12" i="8"/>
  <c r="D23" i="2"/>
  <c r="E21" i="7" l="1"/>
  <c r="F21" i="7" s="1"/>
  <c r="G21" i="7" s="1"/>
  <c r="G8" i="7"/>
  <c r="C8" i="7"/>
  <c r="F7" i="7"/>
  <c r="B7" i="7"/>
  <c r="E6" i="7"/>
  <c r="H5" i="7"/>
  <c r="D5" i="7"/>
  <c r="G4" i="7"/>
  <c r="C4" i="7"/>
  <c r="E22" i="7"/>
  <c r="F22" i="7" s="1"/>
  <c r="G22" i="7" s="1"/>
  <c r="F8" i="7"/>
  <c r="B8" i="7"/>
  <c r="E7" i="7"/>
  <c r="H6" i="7"/>
  <c r="D6" i="7"/>
  <c r="G5" i="7"/>
  <c r="C5" i="7"/>
  <c r="F4" i="7"/>
  <c r="B4" i="7"/>
  <c r="B17" i="8"/>
  <c r="E23" i="7"/>
  <c r="F23" i="7" s="1"/>
  <c r="G23" i="7" s="1"/>
  <c r="E8" i="7"/>
  <c r="H7" i="7"/>
  <c r="D7" i="7"/>
  <c r="G6" i="7"/>
  <c r="C6" i="7"/>
  <c r="F5" i="7"/>
  <c r="B5" i="7"/>
  <c r="E4" i="7"/>
  <c r="B16" i="6"/>
  <c r="B5" i="4"/>
  <c r="D8" i="7"/>
  <c r="B6" i="7"/>
  <c r="G7" i="7"/>
  <c r="E5" i="7"/>
  <c r="E20" i="7"/>
  <c r="F20" i="7" s="1"/>
  <c r="G20" i="7" s="1"/>
  <c r="C7" i="7"/>
  <c r="H4" i="7"/>
  <c r="H8" i="7"/>
  <c r="F6" i="7"/>
  <c r="D4" i="7"/>
  <c r="B13" i="4"/>
  <c r="C3" i="4"/>
  <c r="C17" i="8" l="1"/>
  <c r="C5" i="4"/>
  <c r="C13" i="4"/>
  <c r="C14" i="4" s="1"/>
  <c r="D3" i="4"/>
  <c r="B7" i="4"/>
  <c r="B6" i="4"/>
  <c r="D17" i="8" l="1"/>
  <c r="D5" i="4"/>
  <c r="D13" i="4"/>
  <c r="D14" i="4" s="1"/>
  <c r="E3" i="4"/>
  <c r="C7" i="4"/>
  <c r="C6" i="4"/>
  <c r="B14" i="6"/>
  <c r="B15" i="6" s="1"/>
  <c r="B9" i="4"/>
  <c r="B10" i="4" s="1"/>
  <c r="B8" i="4"/>
  <c r="B18" i="8" l="1"/>
  <c r="B16" i="4"/>
  <c r="E13" i="4"/>
  <c r="E14" i="4" s="1"/>
  <c r="F3" i="4"/>
  <c r="E17" i="8"/>
  <c r="E5" i="4"/>
  <c r="D6" i="4"/>
  <c r="D7" i="4"/>
  <c r="C8" i="4"/>
  <c r="C9" i="4"/>
  <c r="C10" i="4" s="1"/>
  <c r="C18" i="8" l="1"/>
  <c r="C16" i="4"/>
  <c r="F17" i="8"/>
  <c r="F5" i="4"/>
  <c r="F13" i="4"/>
  <c r="F14" i="4" s="1"/>
  <c r="G3" i="4"/>
  <c r="B19" i="8"/>
  <c r="D8" i="4"/>
  <c r="D9" i="4"/>
  <c r="D10" i="4" s="1"/>
  <c r="E6" i="4"/>
  <c r="E7" i="4"/>
  <c r="F7" i="4" l="1"/>
  <c r="F6" i="4"/>
  <c r="D18" i="8"/>
  <c r="D16" i="4"/>
  <c r="G17" i="8"/>
  <c r="G5" i="4"/>
  <c r="G13" i="4"/>
  <c r="H3" i="4"/>
  <c r="H17" i="8" s="1"/>
  <c r="B3" i="5"/>
  <c r="D3" i="5" s="1"/>
  <c r="C19" i="8"/>
  <c r="E9" i="4"/>
  <c r="E10" i="4"/>
  <c r="E8" i="4"/>
  <c r="B4" i="5" l="1"/>
  <c r="D4" i="5" s="1"/>
  <c r="E4" i="5" s="1"/>
  <c r="D19" i="8"/>
  <c r="E3" i="5"/>
  <c r="G14" i="4"/>
  <c r="H14" i="4" s="1"/>
  <c r="H13" i="4"/>
  <c r="G7" i="4"/>
  <c r="H5" i="4"/>
  <c r="G6" i="4"/>
  <c r="E18" i="8"/>
  <c r="E16" i="4"/>
  <c r="F9" i="4"/>
  <c r="F10" i="4"/>
  <c r="F8" i="4"/>
  <c r="F16" i="4" l="1"/>
  <c r="F18" i="8"/>
  <c r="B5" i="5"/>
  <c r="D5" i="5" s="1"/>
  <c r="E19" i="8"/>
  <c r="G8" i="4"/>
  <c r="G9" i="4"/>
  <c r="H9" i="4" s="1"/>
  <c r="H7" i="4"/>
  <c r="E5" i="5" l="1"/>
  <c r="G10" i="4"/>
  <c r="F19" i="8"/>
  <c r="B6" i="5"/>
  <c r="D6" i="5" s="1"/>
  <c r="E6" i="5" l="1"/>
  <c r="G18" i="8"/>
  <c r="G16" i="4"/>
  <c r="H10" i="4"/>
  <c r="H18" i="8" s="1"/>
  <c r="B9" i="5" l="1"/>
  <c r="B10" i="5" s="1"/>
  <c r="B11" i="5" s="1"/>
  <c r="B7" i="5"/>
  <c r="D7" i="5" s="1"/>
  <c r="H16" i="4"/>
  <c r="H19" i="8" s="1"/>
  <c r="G19" i="8"/>
  <c r="H16" i="7"/>
  <c r="G15" i="7"/>
  <c r="H14" i="7"/>
  <c r="H13" i="7"/>
  <c r="C15" i="7"/>
  <c r="E15" i="7"/>
  <c r="B15" i="7"/>
  <c r="D14" i="7"/>
  <c r="F15" i="7"/>
  <c r="B16" i="7"/>
  <c r="E13" i="7"/>
  <c r="D15" i="7"/>
  <c r="G13" i="7"/>
  <c r="F16" i="7"/>
  <c r="F14" i="7"/>
  <c r="G14" i="7"/>
  <c r="D12" i="7"/>
  <c r="C13" i="7"/>
  <c r="E16" i="7"/>
  <c r="B14" i="7"/>
  <c r="F12" i="7"/>
  <c r="E14" i="7"/>
  <c r="H15" i="7"/>
  <c r="D13" i="7"/>
  <c r="F13" i="7"/>
  <c r="C12" i="7"/>
  <c r="G16" i="7"/>
  <c r="E12" i="7"/>
  <c r="G12" i="7"/>
  <c r="C14" i="7"/>
  <c r="B13" i="7"/>
  <c r="D16" i="7"/>
  <c r="H12" i="7"/>
  <c r="C16" i="7"/>
  <c r="B12" i="7"/>
  <c r="E7" i="5" l="1"/>
  <c r="B14" i="5"/>
  <c r="B22" i="5"/>
  <c r="B15" i="5"/>
  <c r="B16" i="5" l="1"/>
  <c r="G4" i="8" l="1"/>
  <c r="B18" i="5"/>
  <c r="B17" i="5"/>
  <c r="I4" i="8" s="1"/>
  <c r="B19" i="5"/>
</calcChain>
</file>

<file path=xl/sharedStrings.xml><?xml version="1.0" encoding="utf-8"?>
<sst xmlns="http://schemas.openxmlformats.org/spreadsheetml/2006/main" count="531" uniqueCount="201">
  <si>
    <t>📊  FINANCIAL MODEL  |  Raw Transaction Data</t>
  </si>
  <si>
    <t>🔵 Blue = Input</t>
  </si>
  <si>
    <t>⚫ Black = Formula</t>
  </si>
  <si>
    <t>🟢 Green = X-Sheet Link</t>
  </si>
  <si>
    <t>Date</t>
  </si>
  <si>
    <t>Product_Category</t>
  </si>
  <si>
    <t>Product</t>
  </si>
  <si>
    <t>Region</t>
  </si>
  <si>
    <t>Units_Sold</t>
  </si>
  <si>
    <t>Price ($)</t>
  </si>
  <si>
    <t>Variable_Cost ($)</t>
  </si>
  <si>
    <t>Fixed_Cost ($)</t>
  </si>
  <si>
    <t>Revenue ($)</t>
  </si>
  <si>
    <t>Total_Cost ($)</t>
  </si>
  <si>
    <t>Profit ($)</t>
  </si>
  <si>
    <t>Margin (%)</t>
  </si>
  <si>
    <t>Electronics</t>
  </si>
  <si>
    <t>Laptop</t>
  </si>
  <si>
    <t>Sylhet</t>
  </si>
  <si>
    <t>Headphones</t>
  </si>
  <si>
    <t>Dhaka</t>
  </si>
  <si>
    <t>Chittagong</t>
  </si>
  <si>
    <t>FMCG</t>
  </si>
  <si>
    <t>Oil</t>
  </si>
  <si>
    <t>Apparel</t>
  </si>
  <si>
    <t>T-Shirt</t>
  </si>
  <si>
    <t>Soap</t>
  </si>
  <si>
    <t>Khulna</t>
  </si>
  <si>
    <t>Shampoo</t>
  </si>
  <si>
    <t>Rice</t>
  </si>
  <si>
    <t>Shoes</t>
  </si>
  <si>
    <t>Rajshahi</t>
  </si>
  <si>
    <t>Tablet</t>
  </si>
  <si>
    <t>Jacket</t>
  </si>
  <si>
    <t>Smartphone</t>
  </si>
  <si>
    <t>Belt</t>
  </si>
  <si>
    <t>TOTALS</t>
  </si>
  <si>
    <t>📐  Calculations  |  Summary &amp; Regional Breakdown</t>
  </si>
  <si>
    <t>SUMMARY METRICS</t>
  </si>
  <si>
    <t>Total Revenue</t>
  </si>
  <si>
    <t>Total Cost</t>
  </si>
  <si>
    <t>Total Profit</t>
  </si>
  <si>
    <t>Avg Margin</t>
  </si>
  <si>
    <t>Total Units</t>
  </si>
  <si>
    <t>Avg Revenue/Unit</t>
  </si>
  <si>
    <t>Gross Profit %</t>
  </si>
  <si>
    <t>REGIONAL BREAKDOWN</t>
  </si>
  <si>
    <t>Cost ($)</t>
  </si>
  <si>
    <t>Units Sold</t>
  </si>
  <si>
    <t>TOTAL</t>
  </si>
  <si>
    <t>CATEGORY BREAKDOWN</t>
  </si>
  <si>
    <t>Category</t>
  </si>
  <si>
    <t>% of Total Rev</t>
  </si>
  <si>
    <t>⚙️  Assumptions  |  All Model Drivers</t>
  </si>
  <si>
    <t>Assumption</t>
  </si>
  <si>
    <t>Value</t>
  </si>
  <si>
    <t>Sensitivity Range</t>
  </si>
  <si>
    <t>Notes</t>
  </si>
  <si>
    <t>── GROWTH ──</t>
  </si>
  <si>
    <t>Revenue Growth Rate</t>
  </si>
  <si>
    <t>4%–15%</t>
  </si>
  <si>
    <t>Base case; adj. for macro</t>
  </si>
  <si>
    <t>Price Growth Rate</t>
  </si>
  <si>
    <t>2%–10%</t>
  </si>
  <si>
    <t>CPI-linked pricing</t>
  </si>
  <si>
    <t>── COST ──</t>
  </si>
  <si>
    <t>Cost Inflation Rate</t>
  </si>
  <si>
    <t>3%–10%</t>
  </si>
  <si>
    <t>Supply-chain assumption</t>
  </si>
  <si>
    <t>Capex (BDT)</t>
  </si>
  <si>
    <t>300k–800k</t>
  </si>
  <si>
    <t>Annual maintenance capex</t>
  </si>
  <si>
    <t>Depreciation (BDT)</t>
  </si>
  <si>
    <t>150k–300k</t>
  </si>
  <si>
    <t>Straight-line 5 yrs</t>
  </si>
  <si>
    <t>Working Capital %</t>
  </si>
  <si>
    <t>8%–18%</t>
  </si>
  <si>
    <t>% of Revenue</t>
  </si>
  <si>
    <t>── TAX ──</t>
  </si>
  <si>
    <t>Tax Rate</t>
  </si>
  <si>
    <t>15%–25%</t>
  </si>
  <si>
    <t>Effective corporate rate</t>
  </si>
  <si>
    <t>── WACC ──</t>
  </si>
  <si>
    <t>WACC</t>
  </si>
  <si>
    <t>9%–15%</t>
  </si>
  <si>
    <t>Weighted avg cost of capital</t>
  </si>
  <si>
    <t>Terminal Growth Rate</t>
  </si>
  <si>
    <t>2%–6%</t>
  </si>
  <si>
    <t>Long-run GDP-linked growth</t>
  </si>
  <si>
    <t>Risk-Free Rate</t>
  </si>
  <si>
    <t>5%–8%</t>
  </si>
  <si>
    <t>Bangladesh T-bill proxy</t>
  </si>
  <si>
    <t>Equity Risk Premium</t>
  </si>
  <si>
    <t>4%–7%</t>
  </si>
  <si>
    <t>EM market premium</t>
  </si>
  <si>
    <t>Beta</t>
  </si>
  <si>
    <t>0.8–1.5</t>
  </si>
  <si>
    <t>Industry beta estimate</t>
  </si>
  <si>
    <t>📈  5-Year Financial Forecast Model</t>
  </si>
  <si>
    <t>Metric</t>
  </si>
  <si>
    <t>Base (Yr 0)</t>
  </si>
  <si>
    <t>Year 1</t>
  </si>
  <si>
    <t>Year 2</t>
  </si>
  <si>
    <t>Year 3</t>
  </si>
  <si>
    <t>Year 4</t>
  </si>
  <si>
    <t>Year 5</t>
  </si>
  <si>
    <t>CAGR</t>
  </si>
  <si>
    <t>── INCOME STATEMENT ──</t>
  </si>
  <si>
    <t>Top-line growth driver</t>
  </si>
  <si>
    <t>COGS ($)</t>
  </si>
  <si>
    <t>Variable + fixed costs</t>
  </si>
  <si>
    <t>Gross Profit ($)</t>
  </si>
  <si>
    <t>Revenue minus COGS</t>
  </si>
  <si>
    <t>Gross Margin (%)</t>
  </si>
  <si>
    <t>Gross Profit / Revenue</t>
  </si>
  <si>
    <t>EBITDA ($)</t>
  </si>
  <si>
    <t>Proxy: Gross Profit</t>
  </si>
  <si>
    <t>EBITDA Margin (%)</t>
  </si>
  <si>
    <t>EBITDA / Revenue</t>
  </si>
  <si>
    <t>Tax ($)</t>
  </si>
  <si>
    <t>Applied to EBITDA</t>
  </si>
  <si>
    <t>Net Income ($)</t>
  </si>
  <si>
    <t>Post-tax profit</t>
  </si>
  <si>
    <t>── CASH FLOW ──</t>
  </si>
  <si>
    <t>Depreciation ($)</t>
  </si>
  <si>
    <t>Non-cash add-back</t>
  </si>
  <si>
    <t>Working Capital ($)</t>
  </si>
  <si>
    <t>ΔWorking Capital ($)</t>
  </si>
  <si>
    <t>Change in WC</t>
  </si>
  <si>
    <t>Capex ($)</t>
  </si>
  <si>
    <t>Annual investment</t>
  </si>
  <si>
    <t>Free Cash Flow ($)</t>
  </si>
  <si>
    <t>NI+Depr−ΔWC−Capex</t>
  </si>
  <si>
    <t>💰  Discounted Cash Flow Valuation</t>
  </si>
  <si>
    <t>Period</t>
  </si>
  <si>
    <t>Discount Factor</t>
  </si>
  <si>
    <t>PV of FCF ($)</t>
  </si>
  <si>
    <t>Cumulative PV ($)</t>
  </si>
  <si>
    <t>Year 1 discounted @ WACC</t>
  </si>
  <si>
    <t>Year 2 discounted @ WACC</t>
  </si>
  <si>
    <t>Year 3 discounted @ WACC</t>
  </si>
  <si>
    <t>Year 4 discounted @ WACC</t>
  </si>
  <si>
    <t>Final projection year</t>
  </si>
  <si>
    <t>TERMINAL VALUE</t>
  </si>
  <si>
    <t>Terminal FCF ($)</t>
  </si>
  <si>
    <t>Terminal Value ($)</t>
  </si>
  <si>
    <t>PV of TV ($)</t>
  </si>
  <si>
    <t>ENTERPRISE VALUE SUMMARY</t>
  </si>
  <si>
    <t>PV of FCFs ($)</t>
  </si>
  <si>
    <t>PV of Terminal Value ($)</t>
  </si>
  <si>
    <t>Enterprise Value ($)</t>
  </si>
  <si>
    <t>EV / EBITDA (x)</t>
  </si>
  <si>
    <t>EV / Revenue (x)</t>
  </si>
  <si>
    <t>TV as % of EV</t>
  </si>
  <si>
    <t>📊  Comparable Company Analysis (Trading Comps)</t>
  </si>
  <si>
    <t>Company</t>
  </si>
  <si>
    <t>EV/EBITDA (x)</t>
  </si>
  <si>
    <t>EV/Revenue (x)</t>
  </si>
  <si>
    <t>Implied EV ($)</t>
  </si>
  <si>
    <t>Grameenphone</t>
  </si>
  <si>
    <t>Robi Axiata</t>
  </si>
  <si>
    <t>Banglalink</t>
  </si>
  <si>
    <t>BRAC Bank</t>
  </si>
  <si>
    <t>Dutch-Bangla</t>
  </si>
  <si>
    <t>Mean</t>
  </si>
  <si>
    <t>Median</t>
  </si>
  <si>
    <t>Min</t>
  </si>
  <si>
    <t>Max</t>
  </si>
  <si>
    <t>TARGET COMPANY VALUATION</t>
  </si>
  <si>
    <t>Our EBITDA ($)</t>
  </si>
  <si>
    <t>Implied EV — EBITDA Multiple ($)</t>
  </si>
  <si>
    <t>Implied EV — Revenue Multiple ($)</t>
  </si>
  <si>
    <t>📉  Sensitivity Analysis &amp; Scenario Planning</t>
  </si>
  <si>
    <t>SENSITIVITY: Revenue to Growth Rate (Year 5)</t>
  </si>
  <si>
    <t>Growth Rate →</t>
  </si>
  <si>
    <t>SENSITIVITY: Enterprise Value (WACC vs Terminal Growth)</t>
  </si>
  <si>
    <t>WACC → / TGR ↓</t>
  </si>
  <si>
    <t>SCENARIO ANALYSIS</t>
  </si>
  <si>
    <t>Scenario</t>
  </si>
  <si>
    <t>Rev Growth</t>
  </si>
  <si>
    <t>Cost Inflation</t>
  </si>
  <si>
    <t>Year 5 Revenue ($)</t>
  </si>
  <si>
    <t>Year 5 Profit ($)</t>
  </si>
  <si>
    <t>EV ($)</t>
  </si>
  <si>
    <t>🏠  EXECUTIVE DASHBOARD  |  Financial Model Summary</t>
  </si>
  <si>
    <t>Enterprise Value (DCF)</t>
  </si>
  <si>
    <t>EV / EBITDA</t>
  </si>
  <si>
    <t>REGIONAL PERFORMANCE</t>
  </si>
  <si>
    <t>vs. Average</t>
  </si>
  <si>
    <t>5-YEAR FORECAST SNAPSHOT</t>
  </si>
  <si>
    <t>Base</t>
  </si>
  <si>
    <t>Yr 1</t>
  </si>
  <si>
    <t>Yr 2</t>
  </si>
  <si>
    <t>Yr 3</t>
  </si>
  <si>
    <t>Yr 4</t>
  </si>
  <si>
    <t>Yr 5</t>
  </si>
  <si>
    <t>FCF ($)</t>
  </si>
  <si>
    <t>Upside</t>
  </si>
  <si>
    <t>Base Case</t>
  </si>
  <si>
    <t>Downside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</si>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</sst>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\-mmm\-yyyy"/>
    <numFmt numFmtId="165" formatCode="\$#,##0;&quot;($&quot;#,##0\);\-"/>
    <numFmt numFmtId="166" formatCode="0.0%;\-0.0%;\-"/>
    <numFmt numFmtId="167" formatCode="#,##0;\(#,##0\);\-"/>
    <numFmt numFmtId="168" formatCode="0.0000"/>
    <numFmt numFmtId="169" formatCode="0.0\x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8"/>
      <color rgb="FF0000FF"/>
      <name val="Arial"/>
      <family val="2"/>
    </font>
    <font>
      <sz val="8"/>
      <color rgb="FF000000"/>
      <name val="Arial"/>
      <family val="2"/>
    </font>
    <font>
      <sz val="8"/>
      <color rgb="FF008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00FF"/>
      <name val="Arial"/>
      <family val="2"/>
    </font>
    <font>
      <sz val="10"/>
      <color rgb="FF17A589"/>
      <name val="Arial"/>
      <family val="2"/>
    </font>
    <font>
      <b/>
      <sz val="12"/>
      <color rgb="FF17A589"/>
      <name val="Arial"/>
      <family val="2"/>
    </font>
    <font>
      <b/>
      <sz val="16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rgb="FF0D1B2A"/>
      <name val="Arial"/>
      <family val="2"/>
    </font>
    <font>
      <i/>
      <sz val="9"/>
      <color theme="1"/>
      <name val="Arial"/>
      <family val="2"/>
    </font>
    <font>
      <i/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2F3F4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D4AC0D"/>
        <bgColor rgb="FFFFCC00"/>
      </patternFill>
    </fill>
    <fill>
      <patternFill patternType="solid">
        <fgColor rgb="FF1B3A5C"/>
        <bgColor rgb="FF333333"/>
      </patternFill>
    </fill>
    <fill>
      <patternFill patternType="solid">
        <fgColor rgb="FFFFF9C4"/>
        <bgColor rgb="FFFDECEA"/>
      </patternFill>
    </fill>
    <fill>
      <patternFill patternType="solid">
        <fgColor rgb="FF2E6DA4"/>
        <bgColor rgb="FF4672A8"/>
      </patternFill>
    </fill>
    <fill>
      <patternFill patternType="solid">
        <fgColor rgb="FFE8F8E8"/>
        <bgColor rgb="FFEBF5FB"/>
      </patternFill>
    </fill>
    <fill>
      <patternFill patternType="solid">
        <fgColor rgb="FFE8EFF8"/>
        <bgColor rgb="FFEBF5FB"/>
      </patternFill>
    </fill>
    <fill>
      <patternFill patternType="solid">
        <fgColor rgb="FFFDECEA"/>
        <bgColor rgb="FFF2F3F4"/>
      </patternFill>
    </fill>
    <fill>
      <patternFill patternType="solid">
        <fgColor rgb="FFF5F5F5"/>
        <bgColor rgb="FFF2F3F4"/>
      </patternFill>
    </fill>
    <fill>
      <patternFill patternType="solid">
        <fgColor rgb="FFEBF5FB"/>
        <bgColor rgb="FFF2F3F4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/>
    <xf numFmtId="167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5" fontId="11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/>
    <xf numFmtId="166" fontId="11" fillId="4" borderId="1" xfId="0" applyNumberFormat="1" applyFont="1" applyFill="1" applyBorder="1" applyAlignment="1">
      <alignment horizontal="center" vertical="center"/>
    </xf>
    <xf numFmtId="167" fontId="11" fillId="4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167" fontId="11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6" fontId="12" fillId="7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65" fontId="12" fillId="7" borderId="1" xfId="0" applyNumberFormat="1" applyFont="1" applyFill="1" applyBorder="1" applyAlignment="1">
      <alignment horizontal="center" vertical="center"/>
    </xf>
    <xf numFmtId="2" fontId="12" fillId="7" borderId="1" xfId="0" applyNumberFormat="1" applyFont="1" applyFill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/>
    </xf>
    <xf numFmtId="166" fontId="13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/>
    <xf numFmtId="168" fontId="7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168" fontId="7" fillId="4" borderId="1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165" fontId="14" fillId="7" borderId="1" xfId="0" applyNumberFormat="1" applyFont="1" applyFill="1" applyBorder="1" applyAlignment="1">
      <alignment horizontal="center" vertical="center"/>
    </xf>
    <xf numFmtId="169" fontId="11" fillId="3" borderId="1" xfId="0" applyNumberFormat="1" applyFont="1" applyFill="1" applyBorder="1" applyAlignment="1">
      <alignment horizontal="center" vertical="center"/>
    </xf>
    <xf numFmtId="169" fontId="11" fillId="4" borderId="1" xfId="0" applyNumberFormat="1" applyFont="1" applyFill="1" applyBorder="1" applyAlignment="1">
      <alignment horizontal="center" vertical="center"/>
    </xf>
    <xf numFmtId="169" fontId="6" fillId="3" borderId="1" xfId="0" applyNumberFormat="1" applyFont="1" applyFill="1" applyBorder="1" applyAlignment="1">
      <alignment horizontal="center" vertical="center"/>
    </xf>
    <xf numFmtId="169" fontId="6" fillId="4" borderId="1" xfId="0" applyNumberFormat="1" applyFont="1" applyFill="1" applyBorder="1" applyAlignment="1">
      <alignment horizontal="center" vertical="center"/>
    </xf>
    <xf numFmtId="169" fontId="7" fillId="3" borderId="1" xfId="0" applyNumberFormat="1" applyFont="1" applyFill="1" applyBorder="1" applyAlignment="1">
      <alignment horizontal="center" vertical="center"/>
    </xf>
    <xf numFmtId="169" fontId="7" fillId="4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166" fontId="6" fillId="10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/>
    </xf>
    <xf numFmtId="166" fontId="6" fillId="11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166" fontId="6" fillId="12" borderId="1" xfId="0" applyNumberFormat="1" applyFont="1" applyFill="1" applyBorder="1" applyAlignment="1">
      <alignment horizontal="center" vertical="center"/>
    </xf>
    <xf numFmtId="165" fontId="7" fillId="12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65" fontId="17" fillId="13" borderId="1" xfId="0" applyNumberFormat="1" applyFont="1" applyFill="1" applyBorder="1" applyAlignment="1">
      <alignment horizontal="center" vertical="center"/>
    </xf>
    <xf numFmtId="166" fontId="17" fillId="13" borderId="1" xfId="0" applyNumberFormat="1" applyFont="1" applyFill="1" applyBorder="1" applyAlignment="1">
      <alignment horizontal="center" vertical="center"/>
    </xf>
    <xf numFmtId="169" fontId="17" fillId="13" borderId="1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0" fillId="0" borderId="0" xfId="0" applyBorder="1" applyAlignment="1"/>
    <xf numFmtId="0" fontId="5" fillId="6" borderId="2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/>
    </xf>
    <xf numFmtId="165" fontId="7" fillId="3" borderId="4" xfId="0" applyNumberFormat="1" applyFont="1" applyFill="1" applyBorder="1" applyAlignment="1">
      <alignment horizontal="center" vertical="center"/>
    </xf>
    <xf numFmtId="166" fontId="7" fillId="3" borderId="4" xfId="0" applyNumberFormat="1" applyFont="1" applyFill="1" applyBorder="1" applyAlignment="1">
      <alignment horizontal="center" vertical="center"/>
    </xf>
    <xf numFmtId="165" fontId="11" fillId="3" borderId="4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0" fillId="0" borderId="3" xfId="0" applyBorder="1" applyAlignment="1"/>
    <xf numFmtId="0" fontId="18" fillId="4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0" fontId="5" fillId="14" borderId="0" xfId="0" applyFont="1" applyFill="1" applyBorder="1" applyAlignment="1">
      <alignment horizontal="left" vertical="center"/>
    </xf>
    <xf numFmtId="165" fontId="0" fillId="15" borderId="0" xfId="0" applyNumberFormat="1" applyFill="1" applyBorder="1" applyAlignment="1"/>
    <xf numFmtId="0" fontId="0" fillId="15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3B3B3"/>
      <rgbColor rgb="FF7F8C8D"/>
      <rgbColor rgb="FF93A9CE"/>
      <rgbColor rgb="FFAB4744"/>
      <rgbColor rgb="FFFFF9C4"/>
      <rgbColor rgb="FFE8F8E8"/>
      <rgbColor rgb="FF660066"/>
      <rgbColor rgb="FFDC853E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8EFF8"/>
      <rgbColor rgb="FFFDECEA"/>
      <rgbColor rgb="FF92C3D5"/>
      <rgbColor rgb="FFD09493"/>
      <rgbColor rgb="FFF2F3F4"/>
      <rgbColor rgb="FFF8B590"/>
      <rgbColor rgb="FF4672A8"/>
      <rgbColor rgb="FF4299B0"/>
      <rgbColor rgb="FFB8CD97"/>
      <rgbColor rgb="FFFFCC00"/>
      <rgbColor rgb="FFD4AC0D"/>
      <rgbColor rgb="FFE67E22"/>
      <rgbColor rgb="FF725990"/>
      <rgbColor rgb="FFA99BBD"/>
      <rgbColor rgb="FF1B3A5C"/>
      <rgbColor rgb="FF17A589"/>
      <rgbColor rgb="FF0D1B2A"/>
      <rgbColor rgb="FF333300"/>
      <rgbColor rgb="FFC0392B"/>
      <rgbColor rgb="FF8E44A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1F497D"/>
                </a:solidFill>
                <a:latin typeface="+mn-lt"/>
                <a:ea typeface="+mn-ea"/>
                <a:cs typeface="+mn-cs"/>
              </a:rPr>
              <a:t>Revenue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 ($)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Calculations!$A$13:$A$17</c:f>
              <c:strCache>
                <c:ptCount val="5"/>
                <c:pt idx="0">
                  <c:v>Dhaka</c:v>
                </c:pt>
                <c:pt idx="1">
                  <c:v>Chittagong</c:v>
                </c:pt>
                <c:pt idx="2">
                  <c:v>Sylhet</c:v>
                </c:pt>
                <c:pt idx="3">
                  <c:v>Khulna</c:v>
                </c:pt>
                <c:pt idx="4">
                  <c:v>Rajshahi</c:v>
                </c:pt>
              </c:strCache>
            </c:strRef>
          </c:cat>
          <c:val>
            <c:numRef>
              <c:f>Calculations!$B$13:$B$17</c:f>
              <c:numCache>
                <c:formatCode>\$#,##0;"($"#,##0\);\-</c:formatCode>
                <c:ptCount val="5"/>
                <c:pt idx="0">
                  <c:v>1744945.49</c:v>
                </c:pt>
                <c:pt idx="1">
                  <c:v>2422198.9399999995</c:v>
                </c:pt>
                <c:pt idx="2">
                  <c:v>2188732.0599999996</c:v>
                </c:pt>
                <c:pt idx="3">
                  <c:v>2796225.54</c:v>
                </c:pt>
                <c:pt idx="4">
                  <c:v>2095221.8899999997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3-44E3-9557-272DE29AE7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929280"/>
        <c:axId val="90213349"/>
      </c:barChart>
      <c:catAx>
        <c:axId val="53929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3349"/>
        <c:crosses val="autoZero"/>
        <c:auto val="1"/>
        <c:lblAlgn val="ctr"/>
        <c:lblOffset val="100"/>
        <c:noMultiLvlLbl val="0"/>
      </c:catAx>
      <c:valAx>
        <c:axId val="9021334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;&quot;(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Net Income — 5-Year Forecast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Financial_Model!$B$2</c:f>
              <c:strCache>
                <c:ptCount val="1"/>
                <c:pt idx="0">
                  <c:v>Base (Yr 0)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Financial_Model!$A$3:$A$10</c15:sqref>
                  </c15:fullRef>
                </c:ext>
              </c:extLst>
              <c:f>(Financial_Model!$A$3,Financial_Model!$A$10)</c:f>
              <c:strCache>
                <c:ptCount val="2"/>
                <c:pt idx="0">
                  <c:v>Revenue ($)</c:v>
                </c:pt>
                <c:pt idx="1">
                  <c:v>Net Income ($)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Financial_Model!$B$3:$B$10</c15:sqref>
                  </c15:fullRef>
                </c:ext>
              </c:extLst>
              <c:f>(Financial_Model!$B$3,Financial_Model!$B$10)</c:f>
              <c:numCache>
                <c:formatCode>\$#,##0;"($"#,##0\);\-</c:formatCode>
                <c:ptCount val="2"/>
                <c:pt idx="0">
                  <c:v>11247323.920000004</c:v>
                </c:pt>
                <c:pt idx="1">
                  <c:v>4471684.2240000023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C-4AEC-9743-DF7A6C6B0922}"/>
            </c:ext>
          </c:extLst>
        </c:ser>
        <c:ser>
          <c:idx val="1"/>
          <c:order val="1"/>
          <c:tx>
            <c:strRef>
              <c:f>Financial_Model!$C$2</c:f>
              <c:strCache>
                <c:ptCount val="1"/>
                <c:pt idx="0">
                  <c:v>Year 1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Financial_Model!$A$3:$A$10</c15:sqref>
                  </c15:fullRef>
                </c:ext>
              </c:extLst>
              <c:f>(Financial_Model!$A$3,Financial_Model!$A$10)</c:f>
              <c:strCache>
                <c:ptCount val="2"/>
                <c:pt idx="0">
                  <c:v>Revenue ($)</c:v>
                </c:pt>
                <c:pt idx="1">
                  <c:v>Net Income ($)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Financial_Model!$C$3:$C$10</c15:sqref>
                  </c15:fullRef>
                </c:ext>
              </c:extLst>
              <c:f>(Financial_Model!$C$3,Financial_Model!$C$10)</c:f>
              <c:numCache>
                <c:formatCode>\$#,##0;"($"#,##0\);\-</c:formatCode>
                <c:ptCount val="2"/>
                <c:pt idx="0">
                  <c:v>12147109.833600005</c:v>
                </c:pt>
                <c:pt idx="1">
                  <c:v>4919942.460160004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C-4AEC-9743-DF7A6C6B0922}"/>
            </c:ext>
          </c:extLst>
        </c:ser>
        <c:ser>
          <c:idx val="2"/>
          <c:order val="2"/>
          <c:tx>
            <c:strRef>
              <c:f>Financial_Model!$D$2</c:f>
              <c:strCache>
                <c:ptCount val="1"/>
                <c:pt idx="0">
                  <c:v>Year 2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Financial_Model!$A$3:$A$10</c15:sqref>
                  </c15:fullRef>
                </c:ext>
              </c:extLst>
              <c:f>(Financial_Model!$A$3,Financial_Model!$A$10)</c:f>
              <c:strCache>
                <c:ptCount val="2"/>
                <c:pt idx="0">
                  <c:v>Revenue ($)</c:v>
                </c:pt>
                <c:pt idx="1">
                  <c:v>Net Income ($)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Financial_Model!$D$3:$D$10</c15:sqref>
                  </c15:fullRef>
                </c:ext>
              </c:extLst>
              <c:f>(Financial_Model!$D$3,Financial_Model!$D$10)</c:f>
              <c:numCache>
                <c:formatCode>\$#,##0;"($"#,##0\);\-</c:formatCode>
                <c:ptCount val="2"/>
                <c:pt idx="0">
                  <c:v>13118878.620288007</c:v>
                </c:pt>
                <c:pt idx="1">
                  <c:v>5409492.7651072051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C-4AEC-9743-DF7A6C6B0922}"/>
            </c:ext>
          </c:extLst>
        </c:ser>
        <c:ser>
          <c:idx val="3"/>
          <c:order val="3"/>
          <c:tx>
            <c:strRef>
              <c:f>Financial_Model!$E$2</c:f>
              <c:strCache>
                <c:ptCount val="1"/>
                <c:pt idx="0">
                  <c:v>Year 3</c:v>
                </c:pt>
              </c:strCache>
            </c:strRef>
          </c:tx>
          <c:spPr>
            <a:gradFill>
              <a:gsLst>
                <a:gs pos="0">
                  <a:schemeClr val="accent4">
                    <a:shade val="51000"/>
                  </a:schemeClr>
                </a:gs>
                <a:gs pos="80000">
                  <a:schemeClr val="accent4">
                    <a:shade val="93000"/>
                  </a:schemeClr>
                </a:gs>
                <a:gs pos="100000">
                  <a:schemeClr val="accent4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Financial_Model!$A$3:$A$10</c15:sqref>
                  </c15:fullRef>
                </c:ext>
              </c:extLst>
              <c:f>(Financial_Model!$A$3,Financial_Model!$A$10)</c:f>
              <c:strCache>
                <c:ptCount val="2"/>
                <c:pt idx="0">
                  <c:v>Revenue ($)</c:v>
                </c:pt>
                <c:pt idx="1">
                  <c:v>Net Income ($)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Financial_Model!$E$3:$E$10</c15:sqref>
                  </c15:fullRef>
                </c:ext>
              </c:extLst>
              <c:f>(Financial_Model!$E$3,Financial_Model!$E$10)</c:f>
              <c:numCache>
                <c:formatCode>\$#,##0;"($"#,##0\);\-</c:formatCode>
                <c:ptCount val="2"/>
                <c:pt idx="0">
                  <c:v>14168388.909911048</c:v>
                </c:pt>
                <c:pt idx="1">
                  <c:v>5943964.3889382454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C-4AEC-9743-DF7A6C6B0922}"/>
            </c:ext>
          </c:extLst>
        </c:ser>
        <c:ser>
          <c:idx val="4"/>
          <c:order val="4"/>
          <c:tx>
            <c:strRef>
              <c:f>Financial_Model!$F$2</c:f>
              <c:strCache>
                <c:ptCount val="1"/>
                <c:pt idx="0">
                  <c:v>Year 4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51000"/>
                  </a:schemeClr>
                </a:gs>
                <a:gs pos="80000">
                  <a:schemeClr val="accent5">
                    <a:shade val="93000"/>
                  </a:schemeClr>
                </a:gs>
                <a:gs pos="100000">
                  <a:schemeClr val="accent5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Financial_Model!$A$3:$A$10</c15:sqref>
                  </c15:fullRef>
                </c:ext>
              </c:extLst>
              <c:f>(Financial_Model!$A$3,Financial_Model!$A$10)</c:f>
              <c:strCache>
                <c:ptCount val="2"/>
                <c:pt idx="0">
                  <c:v>Revenue ($)</c:v>
                </c:pt>
                <c:pt idx="1">
                  <c:v>Net Income ($)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Financial_Model!$F$3:$F$10</c15:sqref>
                  </c15:fullRef>
                </c:ext>
              </c:extLst>
              <c:f>(Financial_Model!$F$3,Financial_Model!$F$10)</c:f>
              <c:numCache>
                <c:formatCode>\$#,##0;"($"#,##0\);\-</c:formatCode>
                <c:ptCount val="2"/>
                <c:pt idx="0">
                  <c:v>15301860.022703933</c:v>
                </c:pt>
                <c:pt idx="1">
                  <c:v>6527296.4748331178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6C-4AEC-9743-DF7A6C6B0922}"/>
            </c:ext>
          </c:extLst>
        </c:ser>
        <c:ser>
          <c:idx val="5"/>
          <c:order val="5"/>
          <c:tx>
            <c:strRef>
              <c:f>Financial_Model!$G$2</c:f>
              <c:strCache>
                <c:ptCount val="1"/>
                <c:pt idx="0">
                  <c:v>Year 5</c:v>
                </c:pt>
              </c:strCache>
            </c:strRef>
          </c:tx>
          <c:spPr>
            <a:gradFill>
              <a:gsLst>
                <a:gs pos="0">
                  <a:schemeClr val="accent6">
                    <a:shade val="51000"/>
                  </a:schemeClr>
                </a:gs>
                <a:gs pos="80000">
                  <a:schemeClr val="accent6">
                    <a:shade val="93000"/>
                  </a:schemeClr>
                </a:gs>
                <a:gs pos="100000">
                  <a:schemeClr val="accent6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Financial_Model!$A$3:$A$10</c15:sqref>
                  </c15:fullRef>
                </c:ext>
              </c:extLst>
              <c:f>(Financial_Model!$A$3,Financial_Model!$A$10)</c:f>
              <c:strCache>
                <c:ptCount val="2"/>
                <c:pt idx="0">
                  <c:v>Revenue ($)</c:v>
                </c:pt>
                <c:pt idx="1">
                  <c:v>Net Income ($)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Financial_Model!$G$3:$G$10</c15:sqref>
                  </c15:fullRef>
                </c:ext>
              </c:extLst>
              <c:f>(Financial_Model!$G$3,Financial_Model!$G$10)</c:f>
              <c:numCache>
                <c:formatCode>\$#,##0;"($"#,##0\);\-</c:formatCode>
                <c:ptCount val="2"/>
                <c:pt idx="0">
                  <c:v>16526008.824520249</c:v>
                </c:pt>
                <c:pt idx="1">
                  <c:v>7163764.0236863689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6C-4AEC-9743-DF7A6C6B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82533344"/>
        <c:axId val="582533672"/>
      </c:barChart>
      <c:catAx>
        <c:axId val="5825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33672"/>
        <c:crosses val="autoZero"/>
        <c:auto val="1"/>
        <c:lblAlgn val="ctr"/>
        <c:lblOffset val="100"/>
        <c:noMultiLvlLbl val="0"/>
      </c:catAx>
      <c:valAx>
        <c:axId val="58253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&quot;(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Margin &amp; EBITDA Margin — 5-Year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Financial_Model!$A$6</c:f>
              <c:strCache>
                <c:ptCount val="1"/>
                <c:pt idx="0">
                  <c:v>Gross Margin (%)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Financial_Model!$B$6:$G$6</c:f>
              <c:numCache>
                <c:formatCode>0.0%;\-0.0%;\-</c:formatCode>
                <c:ptCount val="6"/>
                <c:pt idx="0">
                  <c:v>0.49697201927834239</c:v>
                </c:pt>
                <c:pt idx="1">
                  <c:v>0.50628735225466936</c:v>
                </c:pt>
                <c:pt idx="2">
                  <c:v>0.51543017906476818</c:v>
                </c:pt>
                <c:pt idx="3">
                  <c:v>0.5244036942672724</c:v>
                </c:pt>
                <c:pt idx="4">
                  <c:v>0.533211033262323</c:v>
                </c:pt>
                <c:pt idx="5">
                  <c:v>0.54185527338709483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6-4BA6-8FA7-0890C9F9443D}"/>
            </c:ext>
          </c:extLst>
        </c:ser>
        <c:ser>
          <c:idx val="1"/>
          <c:order val="1"/>
          <c:tx>
            <c:strRef>
              <c:f>Financial_Model!$A$8</c:f>
              <c:strCache>
                <c:ptCount val="1"/>
                <c:pt idx="0">
                  <c:v>EBITDA Margin (%)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Financial_Model!$B$8:$G$8</c:f>
              <c:numCache>
                <c:formatCode>0.0%;\-0.0%;\-</c:formatCode>
                <c:ptCount val="6"/>
                <c:pt idx="0">
                  <c:v>0.49697201927834239</c:v>
                </c:pt>
                <c:pt idx="1">
                  <c:v>0.50628735225466936</c:v>
                </c:pt>
                <c:pt idx="2">
                  <c:v>0.51543017906476818</c:v>
                </c:pt>
                <c:pt idx="3">
                  <c:v>0.5244036942672724</c:v>
                </c:pt>
                <c:pt idx="4">
                  <c:v>0.533211033262323</c:v>
                </c:pt>
                <c:pt idx="5">
                  <c:v>0.54185527338709483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6-4BA6-8FA7-0890C9F944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7093056"/>
        <c:axId val="587083216"/>
      </c:barChart>
      <c:catAx>
        <c:axId val="587093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83216"/>
        <c:crosses val="autoZero"/>
        <c:auto val="1"/>
        <c:lblAlgn val="ctr"/>
        <c:lblOffset val="100"/>
        <c:noMultiLvlLbl val="0"/>
      </c:catAx>
      <c:valAx>
        <c:axId val="58708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-0.0%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9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Free Cash Flow — Years 1–5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FCF ($)</c:v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Valuation_DCF!$A$3:$A$7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Valuation_DCF!$B$3:$B$7</c:f>
              <c:numCache>
                <c:formatCode>\$#,##0;"($"#,##0\);\-</c:formatCode>
                <c:ptCount val="5"/>
                <c:pt idx="0">
                  <c:v>4511968.1505280035</c:v>
                </c:pt>
                <c:pt idx="1">
                  <c:v>4992880.510704645</c:v>
                </c:pt>
                <c:pt idx="2">
                  <c:v>5518023.1541834809</c:v>
                </c:pt>
                <c:pt idx="3">
                  <c:v>6091279.9412979716</c:v>
                </c:pt>
                <c:pt idx="4">
                  <c:v>6716866.1674684109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3-4C49-AA65-5A1315DBD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26761"/>
        <c:axId val="62913548"/>
      </c:barChart>
      <c:catAx>
        <c:axId val="601267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13548"/>
        <c:crosses val="autoZero"/>
        <c:auto val="1"/>
        <c:lblAlgn val="ctr"/>
        <c:lblOffset val="100"/>
        <c:noMultiLvlLbl val="0"/>
      </c:catAx>
      <c:valAx>
        <c:axId val="629135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FCF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1267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137160</xdr:rowOff>
    </xdr:from>
    <xdr:to>
      <xdr:col>5</xdr:col>
      <xdr:colOff>815340</xdr:colOff>
      <xdr:row>61</xdr:row>
      <xdr:rowOff>175260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64770</xdr:rowOff>
    </xdr:from>
    <xdr:to>
      <xdr:col>5</xdr:col>
      <xdr:colOff>792474</xdr:colOff>
      <xdr:row>40</xdr:row>
      <xdr:rowOff>175260</xdr:rowOff>
    </xdr:to>
    <xdr:graphicFrame macro="">
      <xdr:nvGraphicFramePr>
        <xdr:cNvPr id="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899166</xdr:colOff>
      <xdr:row>25</xdr:row>
      <xdr:rowOff>41910</xdr:rowOff>
    </xdr:from>
    <xdr:to>
      <xdr:col>12</xdr:col>
      <xdr:colOff>365760</xdr:colOff>
      <xdr:row>40</xdr:row>
      <xdr:rowOff>175260</xdr:rowOff>
    </xdr:to>
    <xdr:graphicFrame macro="">
      <xdr:nvGraphicFramePr>
        <xdr:cNvPr id="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899160</xdr:colOff>
      <xdr:row>41</xdr:row>
      <xdr:rowOff>129540</xdr:rowOff>
    </xdr:from>
    <xdr:to>
      <xdr:col>12</xdr:col>
      <xdr:colOff>396240</xdr:colOff>
      <xdr:row>61</xdr:row>
      <xdr:rowOff>53340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6DA4"/>
  </sheetPr>
  <dimension ref="A1:L104"/>
  <sheetViews>
    <sheetView showGridLines="0"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4" style="1" customWidth="1"/>
    <col min="2" max="3" width="18" style="1" customWidth="1"/>
    <col min="4" max="4" width="14" style="1" customWidth="1"/>
    <col min="5" max="6" width="12" style="1" customWidth="1"/>
    <col min="7" max="7" width="16" style="1" customWidth="1"/>
    <col min="8" max="11" width="14" style="1" customWidth="1"/>
    <col min="12" max="12" width="12" style="1" customWidth="1"/>
  </cols>
  <sheetData>
    <row r="1" spans="1:12" ht="30" customHeight="1" x14ac:dyDescent="0.3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15.75" customHeight="1" x14ac:dyDescent="0.3">
      <c r="A2" s="2" t="s">
        <v>1</v>
      </c>
      <c r="C2" s="3" t="s">
        <v>2</v>
      </c>
      <c r="E2" s="4" t="s">
        <v>3</v>
      </c>
    </row>
    <row r="3" spans="1:12" ht="19.5" customHeight="1" x14ac:dyDescent="0.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</row>
    <row r="4" spans="1:12" ht="15" customHeight="1" x14ac:dyDescent="0.3">
      <c r="A4" s="6">
        <v>45619</v>
      </c>
      <c r="B4" s="7" t="s">
        <v>16</v>
      </c>
      <c r="C4" s="7" t="s">
        <v>17</v>
      </c>
      <c r="D4" s="7" t="s">
        <v>18</v>
      </c>
      <c r="E4" s="7">
        <v>135</v>
      </c>
      <c r="F4" s="8">
        <v>194.1</v>
      </c>
      <c r="G4" s="8">
        <v>110.82</v>
      </c>
      <c r="H4" s="8">
        <v>1418.06</v>
      </c>
      <c r="I4" s="9">
        <f t="shared" ref="I4:I35" si="0">E4*F4</f>
        <v>26203.5</v>
      </c>
      <c r="J4" s="9">
        <f t="shared" ref="J4:J35" si="1">(E4*G4)+H4</f>
        <v>16378.759999999998</v>
      </c>
      <c r="K4" s="9">
        <f t="shared" ref="K4:K35" si="2">I4-J4</f>
        <v>9824.7400000000016</v>
      </c>
      <c r="L4" s="10">
        <f t="shared" ref="L4:L35" si="3">IF(I4&lt;&gt;0,K4/I4,0)</f>
        <v>0.37493998893277619</v>
      </c>
    </row>
    <row r="5" spans="1:12" ht="15" customHeight="1" x14ac:dyDescent="0.3">
      <c r="A5" s="11">
        <v>45571</v>
      </c>
      <c r="B5" s="12" t="s">
        <v>16</v>
      </c>
      <c r="C5" s="12" t="s">
        <v>19</v>
      </c>
      <c r="D5" s="12" t="s">
        <v>20</v>
      </c>
      <c r="E5" s="12">
        <v>25</v>
      </c>
      <c r="F5" s="13">
        <v>93.08</v>
      </c>
      <c r="G5" s="13">
        <v>39.07</v>
      </c>
      <c r="H5" s="13">
        <v>1283.6300000000001</v>
      </c>
      <c r="I5" s="14">
        <f t="shared" si="0"/>
        <v>2327</v>
      </c>
      <c r="J5" s="14">
        <f t="shared" si="1"/>
        <v>2260.38</v>
      </c>
      <c r="K5" s="14">
        <f t="shared" si="2"/>
        <v>66.619999999999891</v>
      </c>
      <c r="L5" s="15">
        <f t="shared" si="3"/>
        <v>2.8629136226901542E-2</v>
      </c>
    </row>
    <row r="6" spans="1:12" ht="15" customHeight="1" x14ac:dyDescent="0.3">
      <c r="A6" s="6">
        <v>45579</v>
      </c>
      <c r="B6" s="7" t="s">
        <v>16</v>
      </c>
      <c r="C6" s="7" t="s">
        <v>19</v>
      </c>
      <c r="D6" s="7" t="s">
        <v>21</v>
      </c>
      <c r="E6" s="7">
        <v>239</v>
      </c>
      <c r="F6" s="8">
        <v>479.63</v>
      </c>
      <c r="G6" s="8">
        <v>284.33999999999997</v>
      </c>
      <c r="H6" s="8">
        <v>211.7</v>
      </c>
      <c r="I6" s="9">
        <f t="shared" si="0"/>
        <v>114631.56999999999</v>
      </c>
      <c r="J6" s="9">
        <f t="shared" si="1"/>
        <v>68168.959999999992</v>
      </c>
      <c r="K6" s="9">
        <f t="shared" si="2"/>
        <v>46462.61</v>
      </c>
      <c r="L6" s="10">
        <f t="shared" si="3"/>
        <v>0.40532123916648793</v>
      </c>
    </row>
    <row r="7" spans="1:12" ht="15" customHeight="1" x14ac:dyDescent="0.3">
      <c r="A7" s="11">
        <v>45373</v>
      </c>
      <c r="B7" s="12" t="s">
        <v>22</v>
      </c>
      <c r="C7" s="12" t="s">
        <v>23</v>
      </c>
      <c r="D7" s="12" t="s">
        <v>18</v>
      </c>
      <c r="E7" s="12">
        <v>152</v>
      </c>
      <c r="F7" s="13">
        <v>141.27000000000001</v>
      </c>
      <c r="G7" s="13">
        <v>90.01</v>
      </c>
      <c r="H7" s="13">
        <v>805.87</v>
      </c>
      <c r="I7" s="14">
        <f t="shared" si="0"/>
        <v>21473.040000000001</v>
      </c>
      <c r="J7" s="14">
        <f t="shared" si="1"/>
        <v>14487.390000000001</v>
      </c>
      <c r="K7" s="14">
        <f t="shared" si="2"/>
        <v>6985.65</v>
      </c>
      <c r="L7" s="15">
        <f t="shared" si="3"/>
        <v>0.32532189200970146</v>
      </c>
    </row>
    <row r="8" spans="1:12" ht="15" customHeight="1" x14ac:dyDescent="0.3">
      <c r="A8" s="6">
        <v>45339</v>
      </c>
      <c r="B8" s="7" t="s">
        <v>24</v>
      </c>
      <c r="C8" s="7" t="s">
        <v>25</v>
      </c>
      <c r="D8" s="7" t="s">
        <v>18</v>
      </c>
      <c r="E8" s="7">
        <v>443</v>
      </c>
      <c r="F8" s="8">
        <v>288.29000000000002</v>
      </c>
      <c r="G8" s="8">
        <v>123.78</v>
      </c>
      <c r="H8" s="8">
        <v>278.20999999999998</v>
      </c>
      <c r="I8" s="9">
        <f t="shared" si="0"/>
        <v>127712.47000000002</v>
      </c>
      <c r="J8" s="9">
        <f t="shared" si="1"/>
        <v>55112.75</v>
      </c>
      <c r="K8" s="9">
        <f t="shared" si="2"/>
        <v>72599.720000000016</v>
      </c>
      <c r="L8" s="10">
        <f t="shared" si="3"/>
        <v>0.5684622652744874</v>
      </c>
    </row>
    <row r="9" spans="1:12" ht="15" customHeight="1" x14ac:dyDescent="0.3">
      <c r="A9" s="11">
        <v>45527</v>
      </c>
      <c r="B9" s="12" t="s">
        <v>22</v>
      </c>
      <c r="C9" s="12" t="s">
        <v>26</v>
      </c>
      <c r="D9" s="12" t="s">
        <v>27</v>
      </c>
      <c r="E9" s="12">
        <v>50</v>
      </c>
      <c r="F9" s="13">
        <v>450.59</v>
      </c>
      <c r="G9" s="13">
        <v>269.82</v>
      </c>
      <c r="H9" s="13">
        <v>1313.34</v>
      </c>
      <c r="I9" s="14">
        <f t="shared" si="0"/>
        <v>22529.5</v>
      </c>
      <c r="J9" s="14">
        <f t="shared" si="1"/>
        <v>14804.34</v>
      </c>
      <c r="K9" s="14">
        <f t="shared" si="2"/>
        <v>7725.16</v>
      </c>
      <c r="L9" s="15">
        <f t="shared" si="3"/>
        <v>0.34289087640648924</v>
      </c>
    </row>
    <row r="10" spans="1:12" ht="15" customHeight="1" x14ac:dyDescent="0.3">
      <c r="A10" s="6">
        <v>45477</v>
      </c>
      <c r="B10" s="7" t="s">
        <v>22</v>
      </c>
      <c r="C10" s="7" t="s">
        <v>28</v>
      </c>
      <c r="D10" s="7" t="s">
        <v>20</v>
      </c>
      <c r="E10" s="7">
        <v>33</v>
      </c>
      <c r="F10" s="8">
        <v>535.79</v>
      </c>
      <c r="G10" s="8">
        <v>311.79000000000002</v>
      </c>
      <c r="H10" s="8">
        <v>1973.4</v>
      </c>
      <c r="I10" s="9">
        <f t="shared" si="0"/>
        <v>17681.07</v>
      </c>
      <c r="J10" s="9">
        <f t="shared" si="1"/>
        <v>12262.470000000001</v>
      </c>
      <c r="K10" s="9">
        <f t="shared" si="2"/>
        <v>5418.5999999999985</v>
      </c>
      <c r="L10" s="10">
        <f t="shared" si="3"/>
        <v>0.30646335317941725</v>
      </c>
    </row>
    <row r="11" spans="1:12" ht="15" customHeight="1" x14ac:dyDescent="0.3">
      <c r="A11" s="11">
        <v>45411</v>
      </c>
      <c r="B11" s="12" t="s">
        <v>16</v>
      </c>
      <c r="C11" s="12" t="s">
        <v>19</v>
      </c>
      <c r="D11" s="12" t="s">
        <v>18</v>
      </c>
      <c r="E11" s="12">
        <v>242</v>
      </c>
      <c r="F11" s="13">
        <v>515.83000000000004</v>
      </c>
      <c r="G11" s="13">
        <v>237</v>
      </c>
      <c r="H11" s="13">
        <v>866.33</v>
      </c>
      <c r="I11" s="14">
        <f t="shared" si="0"/>
        <v>124830.86000000002</v>
      </c>
      <c r="J11" s="14">
        <f t="shared" si="1"/>
        <v>58220.33</v>
      </c>
      <c r="K11" s="14">
        <f t="shared" si="2"/>
        <v>66610.530000000013</v>
      </c>
      <c r="L11" s="15">
        <f t="shared" si="3"/>
        <v>0.53360627332055555</v>
      </c>
    </row>
    <row r="12" spans="1:12" ht="15" customHeight="1" x14ac:dyDescent="0.3">
      <c r="A12" s="6">
        <v>45399</v>
      </c>
      <c r="B12" s="7" t="s">
        <v>22</v>
      </c>
      <c r="C12" s="7" t="s">
        <v>29</v>
      </c>
      <c r="D12" s="7" t="s">
        <v>20</v>
      </c>
      <c r="E12" s="7">
        <v>321</v>
      </c>
      <c r="F12" s="8">
        <v>515.28</v>
      </c>
      <c r="G12" s="8">
        <v>262.92</v>
      </c>
      <c r="H12" s="8">
        <v>640.66</v>
      </c>
      <c r="I12" s="9">
        <f t="shared" si="0"/>
        <v>165404.88</v>
      </c>
      <c r="J12" s="9">
        <f t="shared" si="1"/>
        <v>85037.98000000001</v>
      </c>
      <c r="K12" s="9">
        <f t="shared" si="2"/>
        <v>80366.899999999994</v>
      </c>
      <c r="L12" s="10">
        <f t="shared" si="3"/>
        <v>0.4858798603765499</v>
      </c>
    </row>
    <row r="13" spans="1:12" ht="15" customHeight="1" x14ac:dyDescent="0.3">
      <c r="A13" s="11">
        <v>45528</v>
      </c>
      <c r="B13" s="12" t="s">
        <v>24</v>
      </c>
      <c r="C13" s="12" t="s">
        <v>30</v>
      </c>
      <c r="D13" s="12" t="s">
        <v>31</v>
      </c>
      <c r="E13" s="12">
        <v>122</v>
      </c>
      <c r="F13" s="13">
        <v>554</v>
      </c>
      <c r="G13" s="13">
        <v>333.98</v>
      </c>
      <c r="H13" s="13">
        <v>1596.8</v>
      </c>
      <c r="I13" s="14">
        <f t="shared" si="0"/>
        <v>67588</v>
      </c>
      <c r="J13" s="14">
        <f t="shared" si="1"/>
        <v>42342.360000000008</v>
      </c>
      <c r="K13" s="14">
        <f t="shared" si="2"/>
        <v>25245.639999999992</v>
      </c>
      <c r="L13" s="15">
        <f t="shared" si="3"/>
        <v>0.37352251879031767</v>
      </c>
    </row>
    <row r="14" spans="1:12" ht="15" customHeight="1" x14ac:dyDescent="0.3">
      <c r="A14" s="6">
        <v>45409</v>
      </c>
      <c r="B14" s="7" t="s">
        <v>16</v>
      </c>
      <c r="C14" s="7" t="s">
        <v>32</v>
      </c>
      <c r="D14" s="7" t="s">
        <v>27</v>
      </c>
      <c r="E14" s="7">
        <v>147</v>
      </c>
      <c r="F14" s="8">
        <v>71.63</v>
      </c>
      <c r="G14" s="8">
        <v>44.69</v>
      </c>
      <c r="H14" s="8">
        <v>1220.92</v>
      </c>
      <c r="I14" s="9">
        <f t="shared" si="0"/>
        <v>10529.609999999999</v>
      </c>
      <c r="J14" s="9">
        <f t="shared" si="1"/>
        <v>7790.3499999999995</v>
      </c>
      <c r="K14" s="9">
        <f t="shared" si="2"/>
        <v>2739.2599999999993</v>
      </c>
      <c r="L14" s="10">
        <f t="shared" si="3"/>
        <v>0.26014828659371048</v>
      </c>
    </row>
    <row r="15" spans="1:12" ht="15" customHeight="1" x14ac:dyDescent="0.3">
      <c r="A15" s="11">
        <v>45453</v>
      </c>
      <c r="B15" s="12" t="s">
        <v>16</v>
      </c>
      <c r="C15" s="12" t="s">
        <v>19</v>
      </c>
      <c r="D15" s="12" t="s">
        <v>27</v>
      </c>
      <c r="E15" s="12">
        <v>462</v>
      </c>
      <c r="F15" s="13">
        <v>733.35</v>
      </c>
      <c r="G15" s="13">
        <v>357.62</v>
      </c>
      <c r="H15" s="13">
        <v>676.78</v>
      </c>
      <c r="I15" s="14">
        <f t="shared" si="0"/>
        <v>338807.7</v>
      </c>
      <c r="J15" s="14">
        <f t="shared" si="1"/>
        <v>165897.22</v>
      </c>
      <c r="K15" s="14">
        <f t="shared" si="2"/>
        <v>172910.48</v>
      </c>
      <c r="L15" s="15">
        <f t="shared" si="3"/>
        <v>0.51034991235441229</v>
      </c>
    </row>
    <row r="16" spans="1:12" ht="15" customHeight="1" x14ac:dyDescent="0.3">
      <c r="A16" s="6">
        <v>45418</v>
      </c>
      <c r="B16" s="7" t="s">
        <v>22</v>
      </c>
      <c r="C16" s="7" t="s">
        <v>29</v>
      </c>
      <c r="D16" s="7" t="s">
        <v>31</v>
      </c>
      <c r="E16" s="7">
        <v>229</v>
      </c>
      <c r="F16" s="8">
        <v>720.3</v>
      </c>
      <c r="G16" s="8">
        <v>338.41</v>
      </c>
      <c r="H16" s="8">
        <v>594.78</v>
      </c>
      <c r="I16" s="9">
        <f t="shared" si="0"/>
        <v>164948.69999999998</v>
      </c>
      <c r="J16" s="9">
        <f t="shared" si="1"/>
        <v>78090.67</v>
      </c>
      <c r="K16" s="9">
        <f t="shared" si="2"/>
        <v>86858.029999999984</v>
      </c>
      <c r="L16" s="10">
        <f t="shared" si="3"/>
        <v>0.52657602030206963</v>
      </c>
    </row>
    <row r="17" spans="1:12" ht="15" customHeight="1" x14ac:dyDescent="0.3">
      <c r="A17" s="11">
        <v>45362</v>
      </c>
      <c r="B17" s="12" t="s">
        <v>22</v>
      </c>
      <c r="C17" s="12" t="s">
        <v>23</v>
      </c>
      <c r="D17" s="12" t="s">
        <v>20</v>
      </c>
      <c r="E17" s="12">
        <v>396</v>
      </c>
      <c r="F17" s="13">
        <v>56.75</v>
      </c>
      <c r="G17" s="13">
        <v>21.73</v>
      </c>
      <c r="H17" s="13">
        <v>1329.4</v>
      </c>
      <c r="I17" s="14">
        <f t="shared" si="0"/>
        <v>22473</v>
      </c>
      <c r="J17" s="14">
        <f t="shared" si="1"/>
        <v>9934.48</v>
      </c>
      <c r="K17" s="14">
        <f t="shared" si="2"/>
        <v>12538.52</v>
      </c>
      <c r="L17" s="15">
        <f t="shared" si="3"/>
        <v>0.55793708005161746</v>
      </c>
    </row>
    <row r="18" spans="1:12" ht="15" customHeight="1" x14ac:dyDescent="0.3">
      <c r="A18" s="6">
        <v>45640</v>
      </c>
      <c r="B18" s="7" t="s">
        <v>24</v>
      </c>
      <c r="C18" s="7" t="s">
        <v>25</v>
      </c>
      <c r="D18" s="7" t="s">
        <v>27</v>
      </c>
      <c r="E18" s="7">
        <v>205</v>
      </c>
      <c r="F18" s="8">
        <v>484.79</v>
      </c>
      <c r="G18" s="8">
        <v>237.75</v>
      </c>
      <c r="H18" s="8">
        <v>652.54999999999995</v>
      </c>
      <c r="I18" s="9">
        <f t="shared" si="0"/>
        <v>99381.95</v>
      </c>
      <c r="J18" s="9">
        <f t="shared" si="1"/>
        <v>49391.3</v>
      </c>
      <c r="K18" s="9">
        <f t="shared" si="2"/>
        <v>49990.649999999994</v>
      </c>
      <c r="L18" s="10">
        <f t="shared" si="3"/>
        <v>0.50301538659686185</v>
      </c>
    </row>
    <row r="19" spans="1:12" ht="15" customHeight="1" x14ac:dyDescent="0.3">
      <c r="A19" s="11">
        <v>45575</v>
      </c>
      <c r="B19" s="12" t="s">
        <v>16</v>
      </c>
      <c r="C19" s="12" t="s">
        <v>17</v>
      </c>
      <c r="D19" s="12" t="s">
        <v>31</v>
      </c>
      <c r="E19" s="12">
        <v>394</v>
      </c>
      <c r="F19" s="13">
        <v>228.12</v>
      </c>
      <c r="G19" s="13">
        <v>123.71</v>
      </c>
      <c r="H19" s="13">
        <v>400.79</v>
      </c>
      <c r="I19" s="14">
        <f t="shared" si="0"/>
        <v>89879.28</v>
      </c>
      <c r="J19" s="14">
        <f t="shared" si="1"/>
        <v>49142.53</v>
      </c>
      <c r="K19" s="14">
        <f t="shared" si="2"/>
        <v>40736.75</v>
      </c>
      <c r="L19" s="15">
        <f t="shared" si="3"/>
        <v>0.45323849946283506</v>
      </c>
    </row>
    <row r="20" spans="1:12" ht="15" customHeight="1" x14ac:dyDescent="0.3">
      <c r="A20" s="6">
        <v>45514</v>
      </c>
      <c r="B20" s="7" t="s">
        <v>16</v>
      </c>
      <c r="C20" s="7" t="s">
        <v>19</v>
      </c>
      <c r="D20" s="7" t="s">
        <v>20</v>
      </c>
      <c r="E20" s="7">
        <v>498</v>
      </c>
      <c r="F20" s="8">
        <v>583.23</v>
      </c>
      <c r="G20" s="8">
        <v>330.05</v>
      </c>
      <c r="H20" s="8">
        <v>1949.4</v>
      </c>
      <c r="I20" s="9">
        <f t="shared" si="0"/>
        <v>290448.54000000004</v>
      </c>
      <c r="J20" s="9">
        <f t="shared" si="1"/>
        <v>166314.29999999999</v>
      </c>
      <c r="K20" s="9">
        <f t="shared" si="2"/>
        <v>124134.24000000005</v>
      </c>
      <c r="L20" s="10">
        <f t="shared" si="3"/>
        <v>0.42738806674669472</v>
      </c>
    </row>
    <row r="21" spans="1:12" ht="15" customHeight="1" x14ac:dyDescent="0.3">
      <c r="A21" s="11">
        <v>45383</v>
      </c>
      <c r="B21" s="12" t="s">
        <v>22</v>
      </c>
      <c r="C21" s="12" t="s">
        <v>26</v>
      </c>
      <c r="D21" s="12" t="s">
        <v>18</v>
      </c>
      <c r="E21" s="12">
        <v>440</v>
      </c>
      <c r="F21" s="13">
        <v>518.38</v>
      </c>
      <c r="G21" s="13">
        <v>276.14</v>
      </c>
      <c r="H21" s="13">
        <v>475.11</v>
      </c>
      <c r="I21" s="14">
        <f t="shared" si="0"/>
        <v>228087.2</v>
      </c>
      <c r="J21" s="14">
        <f t="shared" si="1"/>
        <v>121976.70999999999</v>
      </c>
      <c r="K21" s="14">
        <f t="shared" si="2"/>
        <v>106110.49000000002</v>
      </c>
      <c r="L21" s="15">
        <f t="shared" si="3"/>
        <v>0.46521896011700792</v>
      </c>
    </row>
    <row r="22" spans="1:12" ht="15" customHeight="1" x14ac:dyDescent="0.3">
      <c r="A22" s="6">
        <v>45374</v>
      </c>
      <c r="B22" s="7" t="s">
        <v>22</v>
      </c>
      <c r="C22" s="7" t="s">
        <v>26</v>
      </c>
      <c r="D22" s="7" t="s">
        <v>31</v>
      </c>
      <c r="E22" s="7">
        <v>175</v>
      </c>
      <c r="F22" s="8">
        <v>401.11</v>
      </c>
      <c r="G22" s="8">
        <v>153.85</v>
      </c>
      <c r="H22" s="8">
        <v>853.37</v>
      </c>
      <c r="I22" s="9">
        <f t="shared" si="0"/>
        <v>70194.25</v>
      </c>
      <c r="J22" s="9">
        <f t="shared" si="1"/>
        <v>27777.119999999999</v>
      </c>
      <c r="K22" s="9">
        <f t="shared" si="2"/>
        <v>42417.130000000005</v>
      </c>
      <c r="L22" s="10">
        <f t="shared" si="3"/>
        <v>0.60428211712497826</v>
      </c>
    </row>
    <row r="23" spans="1:12" ht="15" customHeight="1" x14ac:dyDescent="0.3">
      <c r="A23" s="11">
        <v>45449</v>
      </c>
      <c r="B23" s="12" t="s">
        <v>16</v>
      </c>
      <c r="C23" s="12" t="s">
        <v>17</v>
      </c>
      <c r="D23" s="12" t="s">
        <v>21</v>
      </c>
      <c r="E23" s="12">
        <v>459</v>
      </c>
      <c r="F23" s="13">
        <v>462.54</v>
      </c>
      <c r="G23" s="13">
        <v>172.82</v>
      </c>
      <c r="H23" s="13">
        <v>1517.43</v>
      </c>
      <c r="I23" s="14">
        <f t="shared" si="0"/>
        <v>212305.86000000002</v>
      </c>
      <c r="J23" s="14">
        <f t="shared" si="1"/>
        <v>80841.809999999983</v>
      </c>
      <c r="K23" s="14">
        <f t="shared" si="2"/>
        <v>131464.05000000005</v>
      </c>
      <c r="L23" s="15">
        <f t="shared" si="3"/>
        <v>0.61922007239932064</v>
      </c>
    </row>
    <row r="24" spans="1:12" ht="15" customHeight="1" x14ac:dyDescent="0.3">
      <c r="A24" s="6">
        <v>45327</v>
      </c>
      <c r="B24" s="7" t="s">
        <v>22</v>
      </c>
      <c r="C24" s="7" t="s">
        <v>28</v>
      </c>
      <c r="D24" s="7" t="s">
        <v>21</v>
      </c>
      <c r="E24" s="7">
        <v>347</v>
      </c>
      <c r="F24" s="8">
        <v>390.72</v>
      </c>
      <c r="G24" s="8">
        <v>201.2</v>
      </c>
      <c r="H24" s="8">
        <v>677.1</v>
      </c>
      <c r="I24" s="9">
        <f t="shared" si="0"/>
        <v>135579.84</v>
      </c>
      <c r="J24" s="9">
        <f t="shared" si="1"/>
        <v>70493.5</v>
      </c>
      <c r="K24" s="9">
        <f t="shared" si="2"/>
        <v>65086.34</v>
      </c>
      <c r="L24" s="10">
        <f t="shared" si="3"/>
        <v>0.48005912973492221</v>
      </c>
    </row>
    <row r="25" spans="1:12" ht="15" customHeight="1" x14ac:dyDescent="0.3">
      <c r="A25" s="11">
        <v>45602</v>
      </c>
      <c r="B25" s="12" t="s">
        <v>24</v>
      </c>
      <c r="C25" s="12" t="s">
        <v>33</v>
      </c>
      <c r="D25" s="12" t="s">
        <v>31</v>
      </c>
      <c r="E25" s="12">
        <v>396</v>
      </c>
      <c r="F25" s="13">
        <v>589.35</v>
      </c>
      <c r="G25" s="13">
        <v>241.84</v>
      </c>
      <c r="H25" s="13">
        <v>761.09</v>
      </c>
      <c r="I25" s="14">
        <f t="shared" si="0"/>
        <v>233382.6</v>
      </c>
      <c r="J25" s="14">
        <f t="shared" si="1"/>
        <v>96529.73</v>
      </c>
      <c r="K25" s="14">
        <f t="shared" si="2"/>
        <v>136852.87</v>
      </c>
      <c r="L25" s="15">
        <f t="shared" si="3"/>
        <v>0.58638848825919321</v>
      </c>
    </row>
    <row r="26" spans="1:12" ht="15" customHeight="1" x14ac:dyDescent="0.3">
      <c r="A26" s="6">
        <v>45635</v>
      </c>
      <c r="B26" s="7" t="s">
        <v>22</v>
      </c>
      <c r="C26" s="7" t="s">
        <v>29</v>
      </c>
      <c r="D26" s="7" t="s">
        <v>27</v>
      </c>
      <c r="E26" s="7">
        <v>470</v>
      </c>
      <c r="F26" s="8">
        <v>423.71</v>
      </c>
      <c r="G26" s="8">
        <v>163.68</v>
      </c>
      <c r="H26" s="8">
        <v>604.46</v>
      </c>
      <c r="I26" s="9">
        <f t="shared" si="0"/>
        <v>199143.69999999998</v>
      </c>
      <c r="J26" s="9">
        <f t="shared" si="1"/>
        <v>77534.060000000012</v>
      </c>
      <c r="K26" s="9">
        <f t="shared" si="2"/>
        <v>121609.63999999997</v>
      </c>
      <c r="L26" s="10">
        <f t="shared" si="3"/>
        <v>0.61066275257515046</v>
      </c>
    </row>
    <row r="27" spans="1:12" ht="15" customHeight="1" x14ac:dyDescent="0.3">
      <c r="A27" s="11">
        <v>45465</v>
      </c>
      <c r="B27" s="12" t="s">
        <v>16</v>
      </c>
      <c r="C27" s="12" t="s">
        <v>34</v>
      </c>
      <c r="D27" s="12" t="s">
        <v>31</v>
      </c>
      <c r="E27" s="12">
        <v>122</v>
      </c>
      <c r="F27" s="13">
        <v>25.61</v>
      </c>
      <c r="G27" s="13">
        <v>14.4</v>
      </c>
      <c r="H27" s="13">
        <v>305.97000000000003</v>
      </c>
      <c r="I27" s="14">
        <f t="shared" si="0"/>
        <v>3124.42</v>
      </c>
      <c r="J27" s="14">
        <f t="shared" si="1"/>
        <v>2062.77</v>
      </c>
      <c r="K27" s="14">
        <f t="shared" si="2"/>
        <v>1061.6500000000001</v>
      </c>
      <c r="L27" s="15">
        <f t="shared" si="3"/>
        <v>0.33979106522170516</v>
      </c>
    </row>
    <row r="28" spans="1:12" ht="15" customHeight="1" x14ac:dyDescent="0.3">
      <c r="A28" s="6">
        <v>45326</v>
      </c>
      <c r="B28" s="7" t="s">
        <v>16</v>
      </c>
      <c r="C28" s="7" t="s">
        <v>32</v>
      </c>
      <c r="D28" s="7" t="s">
        <v>20</v>
      </c>
      <c r="E28" s="7">
        <v>273</v>
      </c>
      <c r="F28" s="8">
        <v>205.64</v>
      </c>
      <c r="G28" s="8">
        <v>113.24</v>
      </c>
      <c r="H28" s="8">
        <v>585.63</v>
      </c>
      <c r="I28" s="9">
        <f t="shared" si="0"/>
        <v>56139.719999999994</v>
      </c>
      <c r="J28" s="9">
        <f t="shared" si="1"/>
        <v>31500.149999999998</v>
      </c>
      <c r="K28" s="9">
        <f t="shared" si="2"/>
        <v>24639.569999999996</v>
      </c>
      <c r="L28" s="10">
        <f t="shared" si="3"/>
        <v>0.43889727273310231</v>
      </c>
    </row>
    <row r="29" spans="1:12" ht="15" customHeight="1" x14ac:dyDescent="0.3">
      <c r="A29" s="11">
        <v>45359</v>
      </c>
      <c r="B29" s="12" t="s">
        <v>22</v>
      </c>
      <c r="C29" s="12" t="s">
        <v>23</v>
      </c>
      <c r="D29" s="12" t="s">
        <v>21</v>
      </c>
      <c r="E29" s="12">
        <v>411</v>
      </c>
      <c r="F29" s="13">
        <v>388.92</v>
      </c>
      <c r="G29" s="13">
        <v>183.62</v>
      </c>
      <c r="H29" s="13">
        <v>369.79</v>
      </c>
      <c r="I29" s="14">
        <f t="shared" si="0"/>
        <v>159846.12</v>
      </c>
      <c r="J29" s="14">
        <f t="shared" si="1"/>
        <v>75837.61</v>
      </c>
      <c r="K29" s="14">
        <f t="shared" si="2"/>
        <v>84008.51</v>
      </c>
      <c r="L29" s="15">
        <f t="shared" si="3"/>
        <v>0.5255586435254106</v>
      </c>
    </row>
    <row r="30" spans="1:12" ht="15" customHeight="1" x14ac:dyDescent="0.3">
      <c r="A30" s="6">
        <v>45629</v>
      </c>
      <c r="B30" s="7" t="s">
        <v>24</v>
      </c>
      <c r="C30" s="7" t="s">
        <v>30</v>
      </c>
      <c r="D30" s="7" t="s">
        <v>27</v>
      </c>
      <c r="E30" s="7">
        <v>220</v>
      </c>
      <c r="F30" s="8">
        <v>384.28</v>
      </c>
      <c r="G30" s="8">
        <v>218.55</v>
      </c>
      <c r="H30" s="8">
        <v>1412.06</v>
      </c>
      <c r="I30" s="9">
        <f t="shared" si="0"/>
        <v>84541.599999999991</v>
      </c>
      <c r="J30" s="9">
        <f t="shared" si="1"/>
        <v>49493.06</v>
      </c>
      <c r="K30" s="9">
        <f t="shared" si="2"/>
        <v>35048.539999999994</v>
      </c>
      <c r="L30" s="10">
        <f t="shared" si="3"/>
        <v>0.41457152455122681</v>
      </c>
    </row>
    <row r="31" spans="1:12" ht="15" customHeight="1" x14ac:dyDescent="0.3">
      <c r="A31" s="11">
        <v>45622</v>
      </c>
      <c r="B31" s="12" t="s">
        <v>16</v>
      </c>
      <c r="C31" s="12" t="s">
        <v>17</v>
      </c>
      <c r="D31" s="12" t="s">
        <v>27</v>
      </c>
      <c r="E31" s="12">
        <v>382</v>
      </c>
      <c r="F31" s="13">
        <v>284.66000000000003</v>
      </c>
      <c r="G31" s="13">
        <v>173.22</v>
      </c>
      <c r="H31" s="13">
        <v>647.58000000000004</v>
      </c>
      <c r="I31" s="14">
        <f t="shared" si="0"/>
        <v>108740.12000000001</v>
      </c>
      <c r="J31" s="14">
        <f t="shared" si="1"/>
        <v>66817.62</v>
      </c>
      <c r="K31" s="14">
        <f t="shared" si="2"/>
        <v>41922.500000000015</v>
      </c>
      <c r="L31" s="15">
        <f t="shared" si="3"/>
        <v>0.38552927843007723</v>
      </c>
    </row>
    <row r="32" spans="1:12" ht="15" customHeight="1" x14ac:dyDescent="0.3">
      <c r="A32" s="6">
        <v>45389</v>
      </c>
      <c r="B32" s="7" t="s">
        <v>22</v>
      </c>
      <c r="C32" s="7" t="s">
        <v>23</v>
      </c>
      <c r="D32" s="7" t="s">
        <v>21</v>
      </c>
      <c r="E32" s="7">
        <v>226</v>
      </c>
      <c r="F32" s="8">
        <v>163.12</v>
      </c>
      <c r="G32" s="8">
        <v>79.73</v>
      </c>
      <c r="H32" s="8">
        <v>1774.07</v>
      </c>
      <c r="I32" s="9">
        <f t="shared" si="0"/>
        <v>36865.120000000003</v>
      </c>
      <c r="J32" s="9">
        <f t="shared" si="1"/>
        <v>19793.05</v>
      </c>
      <c r="K32" s="9">
        <f t="shared" si="2"/>
        <v>17072.070000000003</v>
      </c>
      <c r="L32" s="10">
        <f t="shared" si="3"/>
        <v>0.46309546801963486</v>
      </c>
    </row>
    <row r="33" spans="1:12" ht="15" customHeight="1" x14ac:dyDescent="0.3">
      <c r="A33" s="11">
        <v>45330</v>
      </c>
      <c r="B33" s="12" t="s">
        <v>24</v>
      </c>
      <c r="C33" s="12" t="s">
        <v>25</v>
      </c>
      <c r="D33" s="12" t="s">
        <v>20</v>
      </c>
      <c r="E33" s="12">
        <v>343</v>
      </c>
      <c r="F33" s="13">
        <v>799.44</v>
      </c>
      <c r="G33" s="13">
        <v>480.31</v>
      </c>
      <c r="H33" s="13">
        <v>1944.19</v>
      </c>
      <c r="I33" s="14">
        <f t="shared" si="0"/>
        <v>274207.92000000004</v>
      </c>
      <c r="J33" s="14">
        <f t="shared" si="1"/>
        <v>166690.51999999999</v>
      </c>
      <c r="K33" s="14">
        <f t="shared" si="2"/>
        <v>107517.40000000005</v>
      </c>
      <c r="L33" s="15">
        <f t="shared" si="3"/>
        <v>0.39210173068669946</v>
      </c>
    </row>
    <row r="34" spans="1:12" ht="15" customHeight="1" x14ac:dyDescent="0.3">
      <c r="A34" s="6">
        <v>45413</v>
      </c>
      <c r="B34" s="7" t="s">
        <v>16</v>
      </c>
      <c r="C34" s="7" t="s">
        <v>19</v>
      </c>
      <c r="D34" s="7" t="s">
        <v>27</v>
      </c>
      <c r="E34" s="7">
        <v>256</v>
      </c>
      <c r="F34" s="8">
        <v>186.72</v>
      </c>
      <c r="G34" s="8">
        <v>87.82</v>
      </c>
      <c r="H34" s="8">
        <v>305.54000000000002</v>
      </c>
      <c r="I34" s="9">
        <f t="shared" si="0"/>
        <v>47800.32</v>
      </c>
      <c r="J34" s="9">
        <f t="shared" si="1"/>
        <v>22787.46</v>
      </c>
      <c r="K34" s="9">
        <f t="shared" si="2"/>
        <v>25012.86</v>
      </c>
      <c r="L34" s="10">
        <f t="shared" si="3"/>
        <v>0.52327808684125965</v>
      </c>
    </row>
    <row r="35" spans="1:12" ht="15" customHeight="1" x14ac:dyDescent="0.3">
      <c r="A35" s="11">
        <v>45486</v>
      </c>
      <c r="B35" s="12" t="s">
        <v>16</v>
      </c>
      <c r="C35" s="12" t="s">
        <v>19</v>
      </c>
      <c r="D35" s="12" t="s">
        <v>18</v>
      </c>
      <c r="E35" s="12">
        <v>484</v>
      </c>
      <c r="F35" s="13">
        <v>631.58000000000004</v>
      </c>
      <c r="G35" s="13">
        <v>307.27</v>
      </c>
      <c r="H35" s="13">
        <v>961.41</v>
      </c>
      <c r="I35" s="14">
        <f t="shared" si="0"/>
        <v>305684.72000000003</v>
      </c>
      <c r="J35" s="14">
        <f t="shared" si="1"/>
        <v>149680.09</v>
      </c>
      <c r="K35" s="14">
        <f t="shared" si="2"/>
        <v>156004.63000000003</v>
      </c>
      <c r="L35" s="15">
        <f t="shared" si="3"/>
        <v>0.51034487428746855</v>
      </c>
    </row>
    <row r="36" spans="1:12" ht="15" customHeight="1" x14ac:dyDescent="0.3">
      <c r="A36" s="6">
        <v>45576</v>
      </c>
      <c r="B36" s="7" t="s">
        <v>22</v>
      </c>
      <c r="C36" s="7" t="s">
        <v>23</v>
      </c>
      <c r="D36" s="7" t="s">
        <v>21</v>
      </c>
      <c r="E36" s="7">
        <v>107</v>
      </c>
      <c r="F36" s="8">
        <v>251.43</v>
      </c>
      <c r="G36" s="8">
        <v>161.07</v>
      </c>
      <c r="H36" s="8">
        <v>1242.52</v>
      </c>
      <c r="I36" s="9">
        <f t="shared" ref="I36:I67" si="4">E36*F36</f>
        <v>26903.010000000002</v>
      </c>
      <c r="J36" s="9">
        <f t="shared" ref="J36:J67" si="5">(E36*G36)+H36</f>
        <v>18477.009999999998</v>
      </c>
      <c r="K36" s="9">
        <f t="shared" ref="K36:K67" si="6">I36-J36</f>
        <v>8426.0000000000036</v>
      </c>
      <c r="L36" s="10">
        <f t="shared" ref="L36:L67" si="7">IF(I36&lt;&gt;0,K36/I36,0)</f>
        <v>0.31319915503878576</v>
      </c>
    </row>
    <row r="37" spans="1:12" ht="15" customHeight="1" x14ac:dyDescent="0.3">
      <c r="A37" s="11">
        <v>45569</v>
      </c>
      <c r="B37" s="12" t="s">
        <v>16</v>
      </c>
      <c r="C37" s="12" t="s">
        <v>32</v>
      </c>
      <c r="D37" s="12" t="s">
        <v>20</v>
      </c>
      <c r="E37" s="12">
        <v>35</v>
      </c>
      <c r="F37" s="13">
        <v>475.66</v>
      </c>
      <c r="G37" s="13">
        <v>238.24</v>
      </c>
      <c r="H37" s="13">
        <v>1734.9</v>
      </c>
      <c r="I37" s="14">
        <f t="shared" si="4"/>
        <v>16648.100000000002</v>
      </c>
      <c r="J37" s="14">
        <f t="shared" si="5"/>
        <v>10073.299999999999</v>
      </c>
      <c r="K37" s="14">
        <f t="shared" si="6"/>
        <v>6574.8000000000029</v>
      </c>
      <c r="L37" s="15">
        <f t="shared" si="7"/>
        <v>0.39492794973600603</v>
      </c>
    </row>
    <row r="38" spans="1:12" ht="15" customHeight="1" x14ac:dyDescent="0.3">
      <c r="A38" s="6">
        <v>45372</v>
      </c>
      <c r="B38" s="7" t="s">
        <v>16</v>
      </c>
      <c r="C38" s="7" t="s">
        <v>17</v>
      </c>
      <c r="D38" s="7" t="s">
        <v>21</v>
      </c>
      <c r="E38" s="7">
        <v>45</v>
      </c>
      <c r="F38" s="8">
        <v>484.13</v>
      </c>
      <c r="G38" s="8">
        <v>267.51</v>
      </c>
      <c r="H38" s="8">
        <v>623.37</v>
      </c>
      <c r="I38" s="9">
        <f t="shared" si="4"/>
        <v>21785.85</v>
      </c>
      <c r="J38" s="9">
        <f t="shared" si="5"/>
        <v>12661.32</v>
      </c>
      <c r="K38" s="9">
        <f t="shared" si="6"/>
        <v>9124.5299999999988</v>
      </c>
      <c r="L38" s="10">
        <f t="shared" si="7"/>
        <v>0.4188282761517223</v>
      </c>
    </row>
    <row r="39" spans="1:12" ht="15" customHeight="1" x14ac:dyDescent="0.3">
      <c r="A39" s="11">
        <v>45353</v>
      </c>
      <c r="B39" s="12" t="s">
        <v>22</v>
      </c>
      <c r="C39" s="12" t="s">
        <v>28</v>
      </c>
      <c r="D39" s="12" t="s">
        <v>31</v>
      </c>
      <c r="E39" s="12">
        <v>314</v>
      </c>
      <c r="F39" s="13">
        <v>51</v>
      </c>
      <c r="G39" s="13">
        <v>19.100000000000001</v>
      </c>
      <c r="H39" s="13">
        <v>1383.27</v>
      </c>
      <c r="I39" s="14">
        <f t="shared" si="4"/>
        <v>16014</v>
      </c>
      <c r="J39" s="14">
        <f t="shared" si="5"/>
        <v>7380.67</v>
      </c>
      <c r="K39" s="14">
        <f t="shared" si="6"/>
        <v>8633.33</v>
      </c>
      <c r="L39" s="15">
        <f t="shared" si="7"/>
        <v>0.53911140252279255</v>
      </c>
    </row>
    <row r="40" spans="1:12" ht="15" customHeight="1" x14ac:dyDescent="0.3">
      <c r="A40" s="6">
        <v>45581</v>
      </c>
      <c r="B40" s="7" t="s">
        <v>22</v>
      </c>
      <c r="C40" s="7" t="s">
        <v>29</v>
      </c>
      <c r="D40" s="7" t="s">
        <v>18</v>
      </c>
      <c r="E40" s="7">
        <v>114</v>
      </c>
      <c r="F40" s="8">
        <v>542.39</v>
      </c>
      <c r="G40" s="8">
        <v>240.96</v>
      </c>
      <c r="H40" s="8">
        <v>678.11</v>
      </c>
      <c r="I40" s="9">
        <f t="shared" si="4"/>
        <v>61832.46</v>
      </c>
      <c r="J40" s="9">
        <f t="shared" si="5"/>
        <v>28147.550000000003</v>
      </c>
      <c r="K40" s="9">
        <f t="shared" si="6"/>
        <v>33684.909999999996</v>
      </c>
      <c r="L40" s="10">
        <f t="shared" si="7"/>
        <v>0.54477712838855186</v>
      </c>
    </row>
    <row r="41" spans="1:12" ht="15" customHeight="1" x14ac:dyDescent="0.3">
      <c r="A41" s="11">
        <v>45359</v>
      </c>
      <c r="B41" s="12" t="s">
        <v>22</v>
      </c>
      <c r="C41" s="12" t="s">
        <v>29</v>
      </c>
      <c r="D41" s="12" t="s">
        <v>27</v>
      </c>
      <c r="E41" s="12">
        <v>171</v>
      </c>
      <c r="F41" s="13">
        <v>744.63</v>
      </c>
      <c r="G41" s="13">
        <v>469.65</v>
      </c>
      <c r="H41" s="13">
        <v>216.77</v>
      </c>
      <c r="I41" s="14">
        <f t="shared" si="4"/>
        <v>127331.73</v>
      </c>
      <c r="J41" s="14">
        <f t="shared" si="5"/>
        <v>80526.92</v>
      </c>
      <c r="K41" s="14">
        <f t="shared" si="6"/>
        <v>46804.81</v>
      </c>
      <c r="L41" s="15">
        <f t="shared" si="7"/>
        <v>0.36758167033464478</v>
      </c>
    </row>
    <row r="42" spans="1:12" ht="15" customHeight="1" x14ac:dyDescent="0.3">
      <c r="A42" s="6">
        <v>45610</v>
      </c>
      <c r="B42" s="7" t="s">
        <v>22</v>
      </c>
      <c r="C42" s="7" t="s">
        <v>26</v>
      </c>
      <c r="D42" s="7" t="s">
        <v>20</v>
      </c>
      <c r="E42" s="7">
        <v>285</v>
      </c>
      <c r="F42" s="8">
        <v>186.26</v>
      </c>
      <c r="G42" s="8">
        <v>80.010000000000005</v>
      </c>
      <c r="H42" s="8">
        <v>1879.87</v>
      </c>
      <c r="I42" s="9">
        <f t="shared" si="4"/>
        <v>53084.1</v>
      </c>
      <c r="J42" s="9">
        <f t="shared" si="5"/>
        <v>24682.720000000001</v>
      </c>
      <c r="K42" s="9">
        <f t="shared" si="6"/>
        <v>28401.379999999997</v>
      </c>
      <c r="L42" s="10">
        <f t="shared" si="7"/>
        <v>0.53502611893203422</v>
      </c>
    </row>
    <row r="43" spans="1:12" ht="15" customHeight="1" x14ac:dyDescent="0.3">
      <c r="A43" s="11">
        <v>45327</v>
      </c>
      <c r="B43" s="12" t="s">
        <v>16</v>
      </c>
      <c r="C43" s="12" t="s">
        <v>32</v>
      </c>
      <c r="D43" s="12" t="s">
        <v>18</v>
      </c>
      <c r="E43" s="12">
        <v>90</v>
      </c>
      <c r="F43" s="13">
        <v>361.78</v>
      </c>
      <c r="G43" s="13">
        <v>185.58</v>
      </c>
      <c r="H43" s="13">
        <v>744.53</v>
      </c>
      <c r="I43" s="14">
        <f t="shared" si="4"/>
        <v>32560.199999999997</v>
      </c>
      <c r="J43" s="14">
        <f t="shared" si="5"/>
        <v>17446.73</v>
      </c>
      <c r="K43" s="14">
        <f t="shared" si="6"/>
        <v>15113.469999999998</v>
      </c>
      <c r="L43" s="15">
        <f t="shared" si="7"/>
        <v>0.46417006038046443</v>
      </c>
    </row>
    <row r="44" spans="1:12" ht="15" customHeight="1" x14ac:dyDescent="0.3">
      <c r="A44" s="6">
        <v>45626</v>
      </c>
      <c r="B44" s="7" t="s">
        <v>22</v>
      </c>
      <c r="C44" s="7" t="s">
        <v>26</v>
      </c>
      <c r="D44" s="7" t="s">
        <v>31</v>
      </c>
      <c r="E44" s="7">
        <v>163</v>
      </c>
      <c r="F44" s="8">
        <v>746.77</v>
      </c>
      <c r="G44" s="8">
        <v>284.58</v>
      </c>
      <c r="H44" s="8">
        <v>1780.63</v>
      </c>
      <c r="I44" s="9">
        <f t="shared" si="4"/>
        <v>121723.51</v>
      </c>
      <c r="J44" s="9">
        <f t="shared" si="5"/>
        <v>48167.17</v>
      </c>
      <c r="K44" s="9">
        <f t="shared" si="6"/>
        <v>73556.34</v>
      </c>
      <c r="L44" s="10">
        <f t="shared" si="7"/>
        <v>0.60429032978099295</v>
      </c>
    </row>
    <row r="45" spans="1:12" ht="15" customHeight="1" x14ac:dyDescent="0.3">
      <c r="A45" s="11">
        <v>45427</v>
      </c>
      <c r="B45" s="12" t="s">
        <v>16</v>
      </c>
      <c r="C45" s="12" t="s">
        <v>17</v>
      </c>
      <c r="D45" s="12" t="s">
        <v>31</v>
      </c>
      <c r="E45" s="12">
        <v>89</v>
      </c>
      <c r="F45" s="13">
        <v>232.43</v>
      </c>
      <c r="G45" s="13">
        <v>123.52</v>
      </c>
      <c r="H45" s="13">
        <v>1491.7</v>
      </c>
      <c r="I45" s="14">
        <f t="shared" si="4"/>
        <v>20686.27</v>
      </c>
      <c r="J45" s="14">
        <f t="shared" si="5"/>
        <v>12484.98</v>
      </c>
      <c r="K45" s="14">
        <f t="shared" si="6"/>
        <v>8201.2900000000009</v>
      </c>
      <c r="L45" s="15">
        <f t="shared" si="7"/>
        <v>0.39646055088713433</v>
      </c>
    </row>
    <row r="46" spans="1:12" ht="15" customHeight="1" x14ac:dyDescent="0.3">
      <c r="A46" s="6">
        <v>45396</v>
      </c>
      <c r="B46" s="7" t="s">
        <v>22</v>
      </c>
      <c r="C46" s="7" t="s">
        <v>29</v>
      </c>
      <c r="D46" s="7" t="s">
        <v>31</v>
      </c>
      <c r="E46" s="7">
        <v>260</v>
      </c>
      <c r="F46" s="8">
        <v>215.87</v>
      </c>
      <c r="G46" s="8">
        <v>134.37</v>
      </c>
      <c r="H46" s="8">
        <v>291.44</v>
      </c>
      <c r="I46" s="9">
        <f t="shared" si="4"/>
        <v>56126.200000000004</v>
      </c>
      <c r="J46" s="9">
        <f t="shared" si="5"/>
        <v>35227.640000000007</v>
      </c>
      <c r="K46" s="9">
        <f t="shared" si="6"/>
        <v>20898.559999999998</v>
      </c>
      <c r="L46" s="10">
        <f t="shared" si="7"/>
        <v>0.37234945533458519</v>
      </c>
    </row>
    <row r="47" spans="1:12" ht="15" customHeight="1" x14ac:dyDescent="0.3">
      <c r="A47" s="11">
        <v>45616</v>
      </c>
      <c r="B47" s="12" t="s">
        <v>24</v>
      </c>
      <c r="C47" s="12" t="s">
        <v>30</v>
      </c>
      <c r="D47" s="12" t="s">
        <v>20</v>
      </c>
      <c r="E47" s="12">
        <v>11</v>
      </c>
      <c r="F47" s="13">
        <v>280.17</v>
      </c>
      <c r="G47" s="13">
        <v>109.06</v>
      </c>
      <c r="H47" s="13">
        <v>1963.64</v>
      </c>
      <c r="I47" s="14">
        <f t="shared" si="4"/>
        <v>3081.8700000000003</v>
      </c>
      <c r="J47" s="14">
        <f t="shared" si="5"/>
        <v>3163.3</v>
      </c>
      <c r="K47" s="14">
        <f t="shared" si="6"/>
        <v>-81.429999999999836</v>
      </c>
      <c r="L47" s="15">
        <f t="shared" si="7"/>
        <v>-2.6422269596056883E-2</v>
      </c>
    </row>
    <row r="48" spans="1:12" ht="15" customHeight="1" x14ac:dyDescent="0.3">
      <c r="A48" s="6">
        <v>45374</v>
      </c>
      <c r="B48" s="7" t="s">
        <v>22</v>
      </c>
      <c r="C48" s="7" t="s">
        <v>23</v>
      </c>
      <c r="D48" s="7" t="s">
        <v>31</v>
      </c>
      <c r="E48" s="7">
        <v>371</v>
      </c>
      <c r="F48" s="8">
        <v>353.6</v>
      </c>
      <c r="G48" s="8">
        <v>124.79</v>
      </c>
      <c r="H48" s="8">
        <v>335.44</v>
      </c>
      <c r="I48" s="9">
        <f t="shared" si="4"/>
        <v>131185.60000000001</v>
      </c>
      <c r="J48" s="9">
        <f t="shared" si="5"/>
        <v>46632.530000000006</v>
      </c>
      <c r="K48" s="9">
        <f t="shared" si="6"/>
        <v>84553.07</v>
      </c>
      <c r="L48" s="10">
        <f t="shared" si="7"/>
        <v>0.64453011611030486</v>
      </c>
    </row>
    <row r="49" spans="1:12" ht="15" customHeight="1" x14ac:dyDescent="0.3">
      <c r="A49" s="11">
        <v>45645</v>
      </c>
      <c r="B49" s="12" t="s">
        <v>16</v>
      </c>
      <c r="C49" s="12" t="s">
        <v>17</v>
      </c>
      <c r="D49" s="12" t="s">
        <v>18</v>
      </c>
      <c r="E49" s="12">
        <v>308</v>
      </c>
      <c r="F49" s="13">
        <v>450.97</v>
      </c>
      <c r="G49" s="13">
        <v>215.99</v>
      </c>
      <c r="H49" s="13">
        <v>275.29000000000002</v>
      </c>
      <c r="I49" s="14">
        <f t="shared" si="4"/>
        <v>138898.76</v>
      </c>
      <c r="J49" s="14">
        <f t="shared" si="5"/>
        <v>66800.209999999992</v>
      </c>
      <c r="K49" s="14">
        <f t="shared" si="6"/>
        <v>72098.550000000017</v>
      </c>
      <c r="L49" s="15">
        <f t="shared" si="7"/>
        <v>0.51907266846730682</v>
      </c>
    </row>
    <row r="50" spans="1:12" ht="15" customHeight="1" x14ac:dyDescent="0.3">
      <c r="A50" s="6">
        <v>45478</v>
      </c>
      <c r="B50" s="7" t="s">
        <v>16</v>
      </c>
      <c r="C50" s="7" t="s">
        <v>32</v>
      </c>
      <c r="D50" s="7" t="s">
        <v>21</v>
      </c>
      <c r="E50" s="7">
        <v>359</v>
      </c>
      <c r="F50" s="8">
        <v>214.63</v>
      </c>
      <c r="G50" s="8">
        <v>81.739999999999995</v>
      </c>
      <c r="H50" s="8">
        <v>1604.21</v>
      </c>
      <c r="I50" s="9">
        <f t="shared" si="4"/>
        <v>77052.17</v>
      </c>
      <c r="J50" s="9">
        <f t="shared" si="5"/>
        <v>30948.87</v>
      </c>
      <c r="K50" s="9">
        <f t="shared" si="6"/>
        <v>46103.3</v>
      </c>
      <c r="L50" s="10">
        <f t="shared" si="7"/>
        <v>0.59833876190638113</v>
      </c>
    </row>
    <row r="51" spans="1:12" ht="15" customHeight="1" x14ac:dyDescent="0.3">
      <c r="A51" s="11">
        <v>45500</v>
      </c>
      <c r="B51" s="12" t="s">
        <v>22</v>
      </c>
      <c r="C51" s="12" t="s">
        <v>28</v>
      </c>
      <c r="D51" s="12" t="s">
        <v>21</v>
      </c>
      <c r="E51" s="12">
        <v>452</v>
      </c>
      <c r="F51" s="13">
        <v>146.75</v>
      </c>
      <c r="G51" s="13">
        <v>86.58</v>
      </c>
      <c r="H51" s="13">
        <v>518.69000000000005</v>
      </c>
      <c r="I51" s="14">
        <f t="shared" si="4"/>
        <v>66331</v>
      </c>
      <c r="J51" s="14">
        <f t="shared" si="5"/>
        <v>39652.85</v>
      </c>
      <c r="K51" s="14">
        <f t="shared" si="6"/>
        <v>26678.15</v>
      </c>
      <c r="L51" s="15">
        <f t="shared" si="7"/>
        <v>0.40219731347333826</v>
      </c>
    </row>
    <row r="52" spans="1:12" ht="15" customHeight="1" x14ac:dyDescent="0.3">
      <c r="A52" s="6">
        <v>45503</v>
      </c>
      <c r="B52" s="7" t="s">
        <v>16</v>
      </c>
      <c r="C52" s="7" t="s">
        <v>34</v>
      </c>
      <c r="D52" s="7" t="s">
        <v>18</v>
      </c>
      <c r="E52" s="7">
        <v>410</v>
      </c>
      <c r="F52" s="8">
        <v>746.04</v>
      </c>
      <c r="G52" s="8">
        <v>440.66</v>
      </c>
      <c r="H52" s="8">
        <v>1755.32</v>
      </c>
      <c r="I52" s="9">
        <f t="shared" si="4"/>
        <v>305876.39999999997</v>
      </c>
      <c r="J52" s="9">
        <f t="shared" si="5"/>
        <v>182425.92</v>
      </c>
      <c r="K52" s="9">
        <f t="shared" si="6"/>
        <v>123450.47999999995</v>
      </c>
      <c r="L52" s="10">
        <f t="shared" si="7"/>
        <v>0.40359596229065064</v>
      </c>
    </row>
    <row r="53" spans="1:12" ht="15" customHeight="1" x14ac:dyDescent="0.3">
      <c r="A53" s="11">
        <v>45419</v>
      </c>
      <c r="B53" s="12" t="s">
        <v>24</v>
      </c>
      <c r="C53" s="12" t="s">
        <v>33</v>
      </c>
      <c r="D53" s="12" t="s">
        <v>20</v>
      </c>
      <c r="E53" s="12">
        <v>205</v>
      </c>
      <c r="F53" s="13">
        <v>700.29</v>
      </c>
      <c r="G53" s="13">
        <v>425.48</v>
      </c>
      <c r="H53" s="13">
        <v>600.38</v>
      </c>
      <c r="I53" s="14">
        <f t="shared" si="4"/>
        <v>143559.44999999998</v>
      </c>
      <c r="J53" s="14">
        <f t="shared" si="5"/>
        <v>87823.780000000013</v>
      </c>
      <c r="K53" s="14">
        <f t="shared" si="6"/>
        <v>55735.669999999969</v>
      </c>
      <c r="L53" s="15">
        <f t="shared" si="7"/>
        <v>0.38824103881701955</v>
      </c>
    </row>
    <row r="54" spans="1:12" ht="15" customHeight="1" x14ac:dyDescent="0.3">
      <c r="A54" s="6">
        <v>45527</v>
      </c>
      <c r="B54" s="7" t="s">
        <v>24</v>
      </c>
      <c r="C54" s="7" t="s">
        <v>30</v>
      </c>
      <c r="D54" s="7" t="s">
        <v>21</v>
      </c>
      <c r="E54" s="7">
        <v>124</v>
      </c>
      <c r="F54" s="8">
        <v>38.46</v>
      </c>
      <c r="G54" s="8">
        <v>15.69</v>
      </c>
      <c r="H54" s="8">
        <v>790.87</v>
      </c>
      <c r="I54" s="9">
        <f t="shared" si="4"/>
        <v>4769.04</v>
      </c>
      <c r="J54" s="9">
        <f t="shared" si="5"/>
        <v>2736.43</v>
      </c>
      <c r="K54" s="9">
        <f t="shared" si="6"/>
        <v>2032.6100000000001</v>
      </c>
      <c r="L54" s="10">
        <f t="shared" si="7"/>
        <v>0.42620946773354806</v>
      </c>
    </row>
    <row r="55" spans="1:12" ht="15" customHeight="1" x14ac:dyDescent="0.3">
      <c r="A55" s="11">
        <v>45327</v>
      </c>
      <c r="B55" s="12" t="s">
        <v>24</v>
      </c>
      <c r="C55" s="12" t="s">
        <v>30</v>
      </c>
      <c r="D55" s="12" t="s">
        <v>31</v>
      </c>
      <c r="E55" s="12">
        <v>214</v>
      </c>
      <c r="F55" s="13">
        <v>550.02</v>
      </c>
      <c r="G55" s="13">
        <v>331.72</v>
      </c>
      <c r="H55" s="13">
        <v>796.07</v>
      </c>
      <c r="I55" s="14">
        <f t="shared" si="4"/>
        <v>117704.28</v>
      </c>
      <c r="J55" s="14">
        <f t="shared" si="5"/>
        <v>71784.150000000009</v>
      </c>
      <c r="K55" s="14">
        <f t="shared" si="6"/>
        <v>45920.12999999999</v>
      </c>
      <c r="L55" s="15">
        <f t="shared" si="7"/>
        <v>0.39013135291257028</v>
      </c>
    </row>
    <row r="56" spans="1:12" ht="15" customHeight="1" x14ac:dyDescent="0.3">
      <c r="A56" s="6">
        <v>45306</v>
      </c>
      <c r="B56" s="7" t="s">
        <v>16</v>
      </c>
      <c r="C56" s="7" t="s">
        <v>32</v>
      </c>
      <c r="D56" s="7" t="s">
        <v>21</v>
      </c>
      <c r="E56" s="7">
        <v>307</v>
      </c>
      <c r="F56" s="8">
        <v>770.78</v>
      </c>
      <c r="G56" s="8">
        <v>331.16</v>
      </c>
      <c r="H56" s="8">
        <v>395.12</v>
      </c>
      <c r="I56" s="9">
        <f t="shared" si="4"/>
        <v>236629.46</v>
      </c>
      <c r="J56" s="9">
        <f t="shared" si="5"/>
        <v>102061.24</v>
      </c>
      <c r="K56" s="9">
        <f t="shared" si="6"/>
        <v>134568.21999999997</v>
      </c>
      <c r="L56" s="10">
        <f t="shared" si="7"/>
        <v>0.56868751676143781</v>
      </c>
    </row>
    <row r="57" spans="1:12" ht="15" customHeight="1" x14ac:dyDescent="0.3">
      <c r="A57" s="11">
        <v>45514</v>
      </c>
      <c r="B57" s="12" t="s">
        <v>24</v>
      </c>
      <c r="C57" s="12" t="s">
        <v>30</v>
      </c>
      <c r="D57" s="12" t="s">
        <v>27</v>
      </c>
      <c r="E57" s="12">
        <v>320</v>
      </c>
      <c r="F57" s="13">
        <v>787.7</v>
      </c>
      <c r="G57" s="13">
        <v>303.02</v>
      </c>
      <c r="H57" s="13">
        <v>1819.11</v>
      </c>
      <c r="I57" s="14">
        <f t="shared" si="4"/>
        <v>252064</v>
      </c>
      <c r="J57" s="14">
        <f t="shared" si="5"/>
        <v>98785.51</v>
      </c>
      <c r="K57" s="14">
        <f t="shared" si="6"/>
        <v>153278.49</v>
      </c>
      <c r="L57" s="15">
        <f t="shared" si="7"/>
        <v>0.60809353973594005</v>
      </c>
    </row>
    <row r="58" spans="1:12" ht="15" customHeight="1" x14ac:dyDescent="0.3">
      <c r="A58" s="6">
        <v>45389</v>
      </c>
      <c r="B58" s="7" t="s">
        <v>24</v>
      </c>
      <c r="C58" s="7" t="s">
        <v>25</v>
      </c>
      <c r="D58" s="7" t="s">
        <v>27</v>
      </c>
      <c r="E58" s="7">
        <v>10</v>
      </c>
      <c r="F58" s="8">
        <v>425.54</v>
      </c>
      <c r="G58" s="8">
        <v>251.9</v>
      </c>
      <c r="H58" s="8">
        <v>1436.34</v>
      </c>
      <c r="I58" s="9">
        <f t="shared" si="4"/>
        <v>4255.4000000000005</v>
      </c>
      <c r="J58" s="9">
        <f t="shared" si="5"/>
        <v>3955.34</v>
      </c>
      <c r="K58" s="9">
        <f t="shared" si="6"/>
        <v>300.0600000000004</v>
      </c>
      <c r="L58" s="10">
        <f t="shared" si="7"/>
        <v>7.0512760257555193E-2</v>
      </c>
    </row>
    <row r="59" spans="1:12" ht="15" customHeight="1" x14ac:dyDescent="0.3">
      <c r="A59" s="11">
        <v>45635</v>
      </c>
      <c r="B59" s="12" t="s">
        <v>16</v>
      </c>
      <c r="C59" s="12" t="s">
        <v>32</v>
      </c>
      <c r="D59" s="12" t="s">
        <v>27</v>
      </c>
      <c r="E59" s="12">
        <v>45</v>
      </c>
      <c r="F59" s="13">
        <v>760.12</v>
      </c>
      <c r="G59" s="13">
        <v>476.01</v>
      </c>
      <c r="H59" s="13">
        <v>1321.68</v>
      </c>
      <c r="I59" s="14">
        <f t="shared" si="4"/>
        <v>34205.4</v>
      </c>
      <c r="J59" s="14">
        <f t="shared" si="5"/>
        <v>22742.13</v>
      </c>
      <c r="K59" s="14">
        <f t="shared" si="6"/>
        <v>11463.27</v>
      </c>
      <c r="L59" s="15">
        <f t="shared" si="7"/>
        <v>0.33513041800417476</v>
      </c>
    </row>
    <row r="60" spans="1:12" ht="15" customHeight="1" x14ac:dyDescent="0.3">
      <c r="A60" s="6">
        <v>45631</v>
      </c>
      <c r="B60" s="7" t="s">
        <v>16</v>
      </c>
      <c r="C60" s="7" t="s">
        <v>32</v>
      </c>
      <c r="D60" s="7" t="s">
        <v>31</v>
      </c>
      <c r="E60" s="7">
        <v>168</v>
      </c>
      <c r="F60" s="8">
        <v>540.17999999999995</v>
      </c>
      <c r="G60" s="8">
        <v>241.92</v>
      </c>
      <c r="H60" s="8">
        <v>1454.98</v>
      </c>
      <c r="I60" s="9">
        <f t="shared" si="4"/>
        <v>90750.239999999991</v>
      </c>
      <c r="J60" s="9">
        <f t="shared" si="5"/>
        <v>42097.54</v>
      </c>
      <c r="K60" s="9">
        <f t="shared" si="6"/>
        <v>48652.69999999999</v>
      </c>
      <c r="L60" s="10">
        <f t="shared" si="7"/>
        <v>0.53611648850735816</v>
      </c>
    </row>
    <row r="61" spans="1:12" ht="15" customHeight="1" x14ac:dyDescent="0.3">
      <c r="A61" s="11">
        <v>45575</v>
      </c>
      <c r="B61" s="12" t="s">
        <v>16</v>
      </c>
      <c r="C61" s="12" t="s">
        <v>34</v>
      </c>
      <c r="D61" s="12" t="s">
        <v>27</v>
      </c>
      <c r="E61" s="12">
        <v>350</v>
      </c>
      <c r="F61" s="13">
        <v>753.48</v>
      </c>
      <c r="G61" s="13">
        <v>416.82</v>
      </c>
      <c r="H61" s="13">
        <v>1825.05</v>
      </c>
      <c r="I61" s="14">
        <f t="shared" si="4"/>
        <v>263718</v>
      </c>
      <c r="J61" s="14">
        <f t="shared" si="5"/>
        <v>147712.04999999999</v>
      </c>
      <c r="K61" s="14">
        <f t="shared" si="6"/>
        <v>116005.95000000001</v>
      </c>
      <c r="L61" s="15">
        <f t="shared" si="7"/>
        <v>0.43988635588014474</v>
      </c>
    </row>
    <row r="62" spans="1:12" ht="15" customHeight="1" x14ac:dyDescent="0.3">
      <c r="A62" s="6">
        <v>45607</v>
      </c>
      <c r="B62" s="7" t="s">
        <v>22</v>
      </c>
      <c r="C62" s="7" t="s">
        <v>29</v>
      </c>
      <c r="D62" s="7" t="s">
        <v>27</v>
      </c>
      <c r="E62" s="7">
        <v>290</v>
      </c>
      <c r="F62" s="8">
        <v>670.31</v>
      </c>
      <c r="G62" s="8">
        <v>295.72000000000003</v>
      </c>
      <c r="H62" s="8">
        <v>578.33000000000004</v>
      </c>
      <c r="I62" s="9">
        <f t="shared" si="4"/>
        <v>194389.9</v>
      </c>
      <c r="J62" s="9">
        <f t="shared" si="5"/>
        <v>86337.13</v>
      </c>
      <c r="K62" s="9">
        <f t="shared" si="6"/>
        <v>108052.76999999999</v>
      </c>
      <c r="L62" s="10">
        <f t="shared" si="7"/>
        <v>0.55585588551668574</v>
      </c>
    </row>
    <row r="63" spans="1:12" ht="15" customHeight="1" x14ac:dyDescent="0.3">
      <c r="A63" s="11">
        <v>45588</v>
      </c>
      <c r="B63" s="12" t="s">
        <v>22</v>
      </c>
      <c r="C63" s="12" t="s">
        <v>29</v>
      </c>
      <c r="D63" s="12" t="s">
        <v>27</v>
      </c>
      <c r="E63" s="12">
        <v>236</v>
      </c>
      <c r="F63" s="13">
        <v>364.88</v>
      </c>
      <c r="G63" s="13">
        <v>151.1</v>
      </c>
      <c r="H63" s="13">
        <v>1051.74</v>
      </c>
      <c r="I63" s="14">
        <f t="shared" si="4"/>
        <v>86111.679999999993</v>
      </c>
      <c r="J63" s="14">
        <f t="shared" si="5"/>
        <v>36711.339999999997</v>
      </c>
      <c r="K63" s="14">
        <f t="shared" si="6"/>
        <v>49400.34</v>
      </c>
      <c r="L63" s="15">
        <f t="shared" si="7"/>
        <v>0.57367757776877659</v>
      </c>
    </row>
    <row r="64" spans="1:12" ht="15" customHeight="1" x14ac:dyDescent="0.3">
      <c r="A64" s="6">
        <v>45378</v>
      </c>
      <c r="B64" s="7" t="s">
        <v>22</v>
      </c>
      <c r="C64" s="7" t="s">
        <v>26</v>
      </c>
      <c r="D64" s="7" t="s">
        <v>18</v>
      </c>
      <c r="E64" s="7">
        <v>273</v>
      </c>
      <c r="F64" s="8">
        <v>537.80999999999995</v>
      </c>
      <c r="G64" s="8">
        <v>288.14999999999998</v>
      </c>
      <c r="H64" s="8">
        <v>368.1</v>
      </c>
      <c r="I64" s="9">
        <f t="shared" si="4"/>
        <v>146822.12999999998</v>
      </c>
      <c r="J64" s="9">
        <f t="shared" si="5"/>
        <v>79033.05</v>
      </c>
      <c r="K64" s="9">
        <f t="shared" si="6"/>
        <v>67789.079999999973</v>
      </c>
      <c r="L64" s="10">
        <f t="shared" si="7"/>
        <v>0.46170887181653053</v>
      </c>
    </row>
    <row r="65" spans="1:12" ht="15" customHeight="1" x14ac:dyDescent="0.3">
      <c r="A65" s="11">
        <v>45412</v>
      </c>
      <c r="B65" s="12" t="s">
        <v>22</v>
      </c>
      <c r="C65" s="12" t="s">
        <v>29</v>
      </c>
      <c r="D65" s="12" t="s">
        <v>21</v>
      </c>
      <c r="E65" s="12">
        <v>422</v>
      </c>
      <c r="F65" s="13">
        <v>175.32</v>
      </c>
      <c r="G65" s="13">
        <v>62.65</v>
      </c>
      <c r="H65" s="13">
        <v>640.72</v>
      </c>
      <c r="I65" s="14">
        <f t="shared" si="4"/>
        <v>73985.039999999994</v>
      </c>
      <c r="J65" s="14">
        <f t="shared" si="5"/>
        <v>27079.02</v>
      </c>
      <c r="K65" s="14">
        <f t="shared" si="6"/>
        <v>46906.01999999999</v>
      </c>
      <c r="L65" s="15">
        <f t="shared" si="7"/>
        <v>0.63399330459238779</v>
      </c>
    </row>
    <row r="66" spans="1:12" ht="15" customHeight="1" x14ac:dyDescent="0.3">
      <c r="A66" s="6">
        <v>45535</v>
      </c>
      <c r="B66" s="7" t="s">
        <v>22</v>
      </c>
      <c r="C66" s="7" t="s">
        <v>26</v>
      </c>
      <c r="D66" s="7" t="s">
        <v>27</v>
      </c>
      <c r="E66" s="7">
        <v>222</v>
      </c>
      <c r="F66" s="8">
        <v>711.19</v>
      </c>
      <c r="G66" s="8">
        <v>371.74</v>
      </c>
      <c r="H66" s="8">
        <v>1493.02</v>
      </c>
      <c r="I66" s="9">
        <f t="shared" si="4"/>
        <v>157884.18000000002</v>
      </c>
      <c r="J66" s="9">
        <f t="shared" si="5"/>
        <v>84019.3</v>
      </c>
      <c r="K66" s="9">
        <f t="shared" si="6"/>
        <v>73864.880000000019</v>
      </c>
      <c r="L66" s="10">
        <f t="shared" si="7"/>
        <v>0.4678421865952625</v>
      </c>
    </row>
    <row r="67" spans="1:12" ht="15" customHeight="1" x14ac:dyDescent="0.3">
      <c r="A67" s="11">
        <v>45488</v>
      </c>
      <c r="B67" s="12" t="s">
        <v>24</v>
      </c>
      <c r="C67" s="12" t="s">
        <v>35</v>
      </c>
      <c r="D67" s="12" t="s">
        <v>21</v>
      </c>
      <c r="E67" s="12">
        <v>85</v>
      </c>
      <c r="F67" s="13">
        <v>531.73</v>
      </c>
      <c r="G67" s="13">
        <v>186.99</v>
      </c>
      <c r="H67" s="13">
        <v>1551.74</v>
      </c>
      <c r="I67" s="14">
        <f t="shared" si="4"/>
        <v>45197.05</v>
      </c>
      <c r="J67" s="14">
        <f t="shared" si="5"/>
        <v>17445.890000000003</v>
      </c>
      <c r="K67" s="14">
        <f t="shared" si="6"/>
        <v>27751.16</v>
      </c>
      <c r="L67" s="15">
        <f t="shared" si="7"/>
        <v>0.61400379007036965</v>
      </c>
    </row>
    <row r="68" spans="1:12" ht="15" customHeight="1" x14ac:dyDescent="0.3">
      <c r="A68" s="6">
        <v>45346</v>
      </c>
      <c r="B68" s="7" t="s">
        <v>24</v>
      </c>
      <c r="C68" s="7" t="s">
        <v>33</v>
      </c>
      <c r="D68" s="7" t="s">
        <v>21</v>
      </c>
      <c r="E68" s="7">
        <v>421</v>
      </c>
      <c r="F68" s="8">
        <v>767.21</v>
      </c>
      <c r="G68" s="8">
        <v>387.74</v>
      </c>
      <c r="H68" s="8">
        <v>290.39</v>
      </c>
      <c r="I68" s="9">
        <f t="shared" ref="I68:I103" si="8">E68*F68</f>
        <v>322995.41000000003</v>
      </c>
      <c r="J68" s="9">
        <f t="shared" ref="J68:J103" si="9">(E68*G68)+H68</f>
        <v>163528.93000000002</v>
      </c>
      <c r="K68" s="9">
        <f t="shared" ref="K68:K99" si="10">I68-J68</f>
        <v>159466.48000000001</v>
      </c>
      <c r="L68" s="10">
        <f t="shared" ref="L68:L99" si="11">IF(I68&lt;&gt;0,K68/I68,0)</f>
        <v>0.49371128834307582</v>
      </c>
    </row>
    <row r="69" spans="1:12" ht="15" customHeight="1" x14ac:dyDescent="0.3">
      <c r="A69" s="11">
        <v>45419</v>
      </c>
      <c r="B69" s="12" t="s">
        <v>16</v>
      </c>
      <c r="C69" s="12" t="s">
        <v>19</v>
      </c>
      <c r="D69" s="12" t="s">
        <v>21</v>
      </c>
      <c r="E69" s="12">
        <v>420</v>
      </c>
      <c r="F69" s="13">
        <v>382.42</v>
      </c>
      <c r="G69" s="13">
        <v>194.78</v>
      </c>
      <c r="H69" s="13">
        <v>1206.07</v>
      </c>
      <c r="I69" s="14">
        <f t="shared" si="8"/>
        <v>160616.4</v>
      </c>
      <c r="J69" s="14">
        <f t="shared" si="9"/>
        <v>83013.670000000013</v>
      </c>
      <c r="K69" s="14">
        <f t="shared" si="10"/>
        <v>77602.729999999981</v>
      </c>
      <c r="L69" s="15">
        <f t="shared" si="11"/>
        <v>0.48315570514592521</v>
      </c>
    </row>
    <row r="70" spans="1:12" ht="15" customHeight="1" x14ac:dyDescent="0.3">
      <c r="A70" s="6">
        <v>45454</v>
      </c>
      <c r="B70" s="7" t="s">
        <v>24</v>
      </c>
      <c r="C70" s="7" t="s">
        <v>35</v>
      </c>
      <c r="D70" s="7" t="s">
        <v>31</v>
      </c>
      <c r="E70" s="7">
        <v>238</v>
      </c>
      <c r="F70" s="8">
        <v>719.82</v>
      </c>
      <c r="G70" s="8">
        <v>412.53</v>
      </c>
      <c r="H70" s="8">
        <v>1054.4100000000001</v>
      </c>
      <c r="I70" s="9">
        <f t="shared" si="8"/>
        <v>171317.16</v>
      </c>
      <c r="J70" s="9">
        <f t="shared" si="9"/>
        <v>99236.55</v>
      </c>
      <c r="K70" s="9">
        <f t="shared" si="10"/>
        <v>72080.61</v>
      </c>
      <c r="L70" s="10">
        <f t="shared" si="11"/>
        <v>0.42074366630873405</v>
      </c>
    </row>
    <row r="71" spans="1:12" ht="15" customHeight="1" x14ac:dyDescent="0.3">
      <c r="A71" s="11">
        <v>45424</v>
      </c>
      <c r="B71" s="12" t="s">
        <v>16</v>
      </c>
      <c r="C71" s="12" t="s">
        <v>32</v>
      </c>
      <c r="D71" s="12" t="s">
        <v>31</v>
      </c>
      <c r="E71" s="12">
        <v>258</v>
      </c>
      <c r="F71" s="13">
        <v>508.86</v>
      </c>
      <c r="G71" s="13">
        <v>220.02</v>
      </c>
      <c r="H71" s="13">
        <v>339.47</v>
      </c>
      <c r="I71" s="14">
        <f t="shared" si="8"/>
        <v>131285.88</v>
      </c>
      <c r="J71" s="14">
        <f t="shared" si="9"/>
        <v>57104.630000000005</v>
      </c>
      <c r="K71" s="14">
        <f t="shared" si="10"/>
        <v>74181.25</v>
      </c>
      <c r="L71" s="15">
        <f t="shared" si="11"/>
        <v>0.56503601148882121</v>
      </c>
    </row>
    <row r="72" spans="1:12" ht="15" customHeight="1" x14ac:dyDescent="0.3">
      <c r="A72" s="6">
        <v>45438</v>
      </c>
      <c r="B72" s="7" t="s">
        <v>16</v>
      </c>
      <c r="C72" s="7" t="s">
        <v>32</v>
      </c>
      <c r="D72" s="7" t="s">
        <v>18</v>
      </c>
      <c r="E72" s="7">
        <v>173</v>
      </c>
      <c r="F72" s="8">
        <v>716.56</v>
      </c>
      <c r="G72" s="8">
        <v>268.12</v>
      </c>
      <c r="H72" s="8">
        <v>471.5</v>
      </c>
      <c r="I72" s="9">
        <f t="shared" si="8"/>
        <v>123964.87999999999</v>
      </c>
      <c r="J72" s="9">
        <f t="shared" si="9"/>
        <v>46856.26</v>
      </c>
      <c r="K72" s="9">
        <f t="shared" si="10"/>
        <v>77108.62</v>
      </c>
      <c r="L72" s="10">
        <f t="shared" si="11"/>
        <v>0.62201988176005985</v>
      </c>
    </row>
    <row r="73" spans="1:12" ht="15" customHeight="1" x14ac:dyDescent="0.3">
      <c r="A73" s="11">
        <v>45488</v>
      </c>
      <c r="B73" s="12" t="s">
        <v>22</v>
      </c>
      <c r="C73" s="12" t="s">
        <v>28</v>
      </c>
      <c r="D73" s="12" t="s">
        <v>21</v>
      </c>
      <c r="E73" s="12">
        <v>42</v>
      </c>
      <c r="F73" s="13">
        <v>343.6</v>
      </c>
      <c r="G73" s="13">
        <v>154.37</v>
      </c>
      <c r="H73" s="13">
        <v>1038.6600000000001</v>
      </c>
      <c r="I73" s="14">
        <f t="shared" si="8"/>
        <v>14431.2</v>
      </c>
      <c r="J73" s="14">
        <f t="shared" si="9"/>
        <v>7522.2</v>
      </c>
      <c r="K73" s="14">
        <f t="shared" si="10"/>
        <v>6909.0000000000009</v>
      </c>
      <c r="L73" s="15">
        <f t="shared" si="11"/>
        <v>0.47875436554132716</v>
      </c>
    </row>
    <row r="74" spans="1:12" ht="15" customHeight="1" x14ac:dyDescent="0.3">
      <c r="A74" s="6">
        <v>45323</v>
      </c>
      <c r="B74" s="7" t="s">
        <v>16</v>
      </c>
      <c r="C74" s="7" t="s">
        <v>19</v>
      </c>
      <c r="D74" s="7" t="s">
        <v>27</v>
      </c>
      <c r="E74" s="7">
        <v>473</v>
      </c>
      <c r="F74" s="8">
        <v>620.44000000000005</v>
      </c>
      <c r="G74" s="8">
        <v>393.25</v>
      </c>
      <c r="H74" s="8">
        <v>235.16</v>
      </c>
      <c r="I74" s="9">
        <f t="shared" si="8"/>
        <v>293468.12000000005</v>
      </c>
      <c r="J74" s="9">
        <f t="shared" si="9"/>
        <v>186242.41</v>
      </c>
      <c r="K74" s="9">
        <f t="shared" si="10"/>
        <v>107225.71000000005</v>
      </c>
      <c r="L74" s="10">
        <f t="shared" si="11"/>
        <v>0.36537430368927304</v>
      </c>
    </row>
    <row r="75" spans="1:12" ht="15" customHeight="1" x14ac:dyDescent="0.3">
      <c r="A75" s="11">
        <v>45586</v>
      </c>
      <c r="B75" s="12" t="s">
        <v>24</v>
      </c>
      <c r="C75" s="12" t="s">
        <v>35</v>
      </c>
      <c r="D75" s="12" t="s">
        <v>20</v>
      </c>
      <c r="E75" s="12">
        <v>492</v>
      </c>
      <c r="F75" s="13">
        <v>294.37</v>
      </c>
      <c r="G75" s="13">
        <v>169.57</v>
      </c>
      <c r="H75" s="13">
        <v>1736.21</v>
      </c>
      <c r="I75" s="14">
        <f t="shared" si="8"/>
        <v>144830.04</v>
      </c>
      <c r="J75" s="14">
        <f t="shared" si="9"/>
        <v>85164.650000000009</v>
      </c>
      <c r="K75" s="14">
        <f t="shared" si="10"/>
        <v>59665.39</v>
      </c>
      <c r="L75" s="15">
        <f t="shared" si="11"/>
        <v>0.41196833198416571</v>
      </c>
    </row>
    <row r="76" spans="1:12" ht="15" customHeight="1" x14ac:dyDescent="0.3">
      <c r="A76" s="6">
        <v>45506</v>
      </c>
      <c r="B76" s="7" t="s">
        <v>22</v>
      </c>
      <c r="C76" s="7" t="s">
        <v>28</v>
      </c>
      <c r="D76" s="7" t="s">
        <v>27</v>
      </c>
      <c r="E76" s="7">
        <v>122</v>
      </c>
      <c r="F76" s="8">
        <v>232.89</v>
      </c>
      <c r="G76" s="8">
        <v>115.44</v>
      </c>
      <c r="H76" s="8">
        <v>899.94</v>
      </c>
      <c r="I76" s="9">
        <f t="shared" si="8"/>
        <v>28412.579999999998</v>
      </c>
      <c r="J76" s="9">
        <f t="shared" si="9"/>
        <v>14983.62</v>
      </c>
      <c r="K76" s="9">
        <f t="shared" si="10"/>
        <v>13428.959999999997</v>
      </c>
      <c r="L76" s="10">
        <f t="shared" si="11"/>
        <v>0.47264134408068531</v>
      </c>
    </row>
    <row r="77" spans="1:12" ht="15" customHeight="1" x14ac:dyDescent="0.3">
      <c r="A77" s="11">
        <v>45634</v>
      </c>
      <c r="B77" s="12" t="s">
        <v>22</v>
      </c>
      <c r="C77" s="12" t="s">
        <v>23</v>
      </c>
      <c r="D77" s="12" t="s">
        <v>21</v>
      </c>
      <c r="E77" s="12">
        <v>440</v>
      </c>
      <c r="F77" s="13">
        <v>384.56</v>
      </c>
      <c r="G77" s="13">
        <v>149.32</v>
      </c>
      <c r="H77" s="13">
        <v>1320.06</v>
      </c>
      <c r="I77" s="14">
        <f t="shared" si="8"/>
        <v>169206.39999999999</v>
      </c>
      <c r="J77" s="14">
        <f t="shared" si="9"/>
        <v>67020.86</v>
      </c>
      <c r="K77" s="14">
        <f t="shared" si="10"/>
        <v>102185.54</v>
      </c>
      <c r="L77" s="15">
        <f t="shared" si="11"/>
        <v>0.60391060858218126</v>
      </c>
    </row>
    <row r="78" spans="1:12" ht="15" customHeight="1" x14ac:dyDescent="0.3">
      <c r="A78" s="6">
        <v>45305</v>
      </c>
      <c r="B78" s="7" t="s">
        <v>24</v>
      </c>
      <c r="C78" s="7" t="s">
        <v>25</v>
      </c>
      <c r="D78" s="7" t="s">
        <v>20</v>
      </c>
      <c r="E78" s="7">
        <v>339</v>
      </c>
      <c r="F78" s="8">
        <v>354.32</v>
      </c>
      <c r="G78" s="8">
        <v>216.15</v>
      </c>
      <c r="H78" s="8">
        <v>527.11</v>
      </c>
      <c r="I78" s="9">
        <f t="shared" si="8"/>
        <v>120114.48</v>
      </c>
      <c r="J78" s="9">
        <f t="shared" si="9"/>
        <v>73801.960000000006</v>
      </c>
      <c r="K78" s="9">
        <f t="shared" si="10"/>
        <v>46312.51999999999</v>
      </c>
      <c r="L78" s="10">
        <f t="shared" si="11"/>
        <v>0.38556983304594078</v>
      </c>
    </row>
    <row r="79" spans="1:12" ht="15" customHeight="1" x14ac:dyDescent="0.3">
      <c r="A79" s="11">
        <v>45425</v>
      </c>
      <c r="B79" s="12" t="s">
        <v>24</v>
      </c>
      <c r="C79" s="12" t="s">
        <v>30</v>
      </c>
      <c r="D79" s="12" t="s">
        <v>21</v>
      </c>
      <c r="E79" s="12">
        <v>242</v>
      </c>
      <c r="F79" s="13">
        <v>274.94</v>
      </c>
      <c r="G79" s="13">
        <v>159.02000000000001</v>
      </c>
      <c r="H79" s="13">
        <v>882.43</v>
      </c>
      <c r="I79" s="14">
        <f t="shared" si="8"/>
        <v>66535.48</v>
      </c>
      <c r="J79" s="14">
        <f t="shared" si="9"/>
        <v>39365.270000000004</v>
      </c>
      <c r="K79" s="14">
        <f t="shared" si="10"/>
        <v>27170.209999999992</v>
      </c>
      <c r="L79" s="15">
        <f t="shared" si="11"/>
        <v>0.40835671434248305</v>
      </c>
    </row>
    <row r="80" spans="1:12" ht="15" customHeight="1" x14ac:dyDescent="0.3">
      <c r="A80" s="6">
        <v>45507</v>
      </c>
      <c r="B80" s="7" t="s">
        <v>24</v>
      </c>
      <c r="C80" s="7" t="s">
        <v>25</v>
      </c>
      <c r="D80" s="7" t="s">
        <v>27</v>
      </c>
      <c r="E80" s="7">
        <v>19</v>
      </c>
      <c r="F80" s="8">
        <v>604.24</v>
      </c>
      <c r="G80" s="8">
        <v>220.93</v>
      </c>
      <c r="H80" s="8">
        <v>1913.46</v>
      </c>
      <c r="I80" s="9">
        <f t="shared" si="8"/>
        <v>11480.56</v>
      </c>
      <c r="J80" s="9">
        <f t="shared" si="9"/>
        <v>6111.13</v>
      </c>
      <c r="K80" s="9">
        <f t="shared" si="10"/>
        <v>5369.4299999999994</v>
      </c>
      <c r="L80" s="10">
        <f t="shared" si="11"/>
        <v>0.46769756875971202</v>
      </c>
    </row>
    <row r="81" spans="1:12" ht="15" customHeight="1" x14ac:dyDescent="0.3">
      <c r="A81" s="11">
        <v>45406</v>
      </c>
      <c r="B81" s="12" t="s">
        <v>22</v>
      </c>
      <c r="C81" s="12" t="s">
        <v>26</v>
      </c>
      <c r="D81" s="12" t="s">
        <v>20</v>
      </c>
      <c r="E81" s="12">
        <v>396</v>
      </c>
      <c r="F81" s="13">
        <v>44.2</v>
      </c>
      <c r="G81" s="13">
        <v>18.75</v>
      </c>
      <c r="H81" s="13">
        <v>1710.61</v>
      </c>
      <c r="I81" s="14">
        <f t="shared" si="8"/>
        <v>17503.2</v>
      </c>
      <c r="J81" s="14">
        <f t="shared" si="9"/>
        <v>9135.61</v>
      </c>
      <c r="K81" s="14">
        <f t="shared" si="10"/>
        <v>8367.59</v>
      </c>
      <c r="L81" s="15">
        <f t="shared" si="11"/>
        <v>0.478060583207642</v>
      </c>
    </row>
    <row r="82" spans="1:12" ht="15" customHeight="1" x14ac:dyDescent="0.3">
      <c r="A82" s="6">
        <v>45610</v>
      </c>
      <c r="B82" s="7" t="s">
        <v>16</v>
      </c>
      <c r="C82" s="7" t="s">
        <v>34</v>
      </c>
      <c r="D82" s="7" t="s">
        <v>21</v>
      </c>
      <c r="E82" s="7">
        <v>252</v>
      </c>
      <c r="F82" s="8">
        <v>542.17999999999995</v>
      </c>
      <c r="G82" s="8">
        <v>281.49</v>
      </c>
      <c r="H82" s="8">
        <v>592.34</v>
      </c>
      <c r="I82" s="9">
        <f t="shared" si="8"/>
        <v>136629.35999999999</v>
      </c>
      <c r="J82" s="9">
        <f t="shared" si="9"/>
        <v>71527.819999999992</v>
      </c>
      <c r="K82" s="9">
        <f t="shared" si="10"/>
        <v>65101.539999999994</v>
      </c>
      <c r="L82" s="10">
        <f t="shared" si="11"/>
        <v>0.47648279989015541</v>
      </c>
    </row>
    <row r="83" spans="1:12" ht="15" customHeight="1" x14ac:dyDescent="0.3">
      <c r="A83" s="11">
        <v>45650</v>
      </c>
      <c r="B83" s="12" t="s">
        <v>24</v>
      </c>
      <c r="C83" s="12" t="s">
        <v>30</v>
      </c>
      <c r="D83" s="12" t="s">
        <v>21</v>
      </c>
      <c r="E83" s="12">
        <v>320</v>
      </c>
      <c r="F83" s="13">
        <v>493.65</v>
      </c>
      <c r="G83" s="13">
        <v>283.54000000000002</v>
      </c>
      <c r="H83" s="13">
        <v>406.16</v>
      </c>
      <c r="I83" s="14">
        <f t="shared" si="8"/>
        <v>157968</v>
      </c>
      <c r="J83" s="14">
        <f t="shared" si="9"/>
        <v>91138.96</v>
      </c>
      <c r="K83" s="14">
        <f t="shared" si="10"/>
        <v>66829.039999999994</v>
      </c>
      <c r="L83" s="15">
        <f t="shared" si="11"/>
        <v>0.4230542894763496</v>
      </c>
    </row>
    <row r="84" spans="1:12" ht="15" customHeight="1" x14ac:dyDescent="0.3">
      <c r="A84" s="6">
        <v>45375</v>
      </c>
      <c r="B84" s="7" t="s">
        <v>24</v>
      </c>
      <c r="C84" s="7" t="s">
        <v>25</v>
      </c>
      <c r="D84" s="7" t="s">
        <v>31</v>
      </c>
      <c r="E84" s="7">
        <v>23</v>
      </c>
      <c r="F84" s="8">
        <v>744.53</v>
      </c>
      <c r="G84" s="8">
        <v>389.19</v>
      </c>
      <c r="H84" s="8">
        <v>1834.45</v>
      </c>
      <c r="I84" s="9">
        <f t="shared" si="8"/>
        <v>17124.189999999999</v>
      </c>
      <c r="J84" s="9">
        <f t="shared" si="9"/>
        <v>10785.820000000002</v>
      </c>
      <c r="K84" s="9">
        <f t="shared" si="10"/>
        <v>6338.3699999999972</v>
      </c>
      <c r="L84" s="10">
        <f t="shared" si="11"/>
        <v>0.3701413030338952</v>
      </c>
    </row>
    <row r="85" spans="1:12" ht="15" customHeight="1" x14ac:dyDescent="0.3">
      <c r="A85" s="11">
        <v>45484</v>
      </c>
      <c r="B85" s="12" t="s">
        <v>24</v>
      </c>
      <c r="C85" s="12" t="s">
        <v>33</v>
      </c>
      <c r="D85" s="12" t="s">
        <v>20</v>
      </c>
      <c r="E85" s="12">
        <v>313</v>
      </c>
      <c r="F85" s="13">
        <v>558.67999999999995</v>
      </c>
      <c r="G85" s="13">
        <v>300.67</v>
      </c>
      <c r="H85" s="13">
        <v>383.42</v>
      </c>
      <c r="I85" s="14">
        <f t="shared" si="8"/>
        <v>174866.84</v>
      </c>
      <c r="J85" s="14">
        <f t="shared" si="9"/>
        <v>94493.13</v>
      </c>
      <c r="K85" s="14">
        <f t="shared" si="10"/>
        <v>80373.709999999992</v>
      </c>
      <c r="L85" s="15">
        <f t="shared" si="11"/>
        <v>0.45962808042965719</v>
      </c>
    </row>
    <row r="86" spans="1:12" ht="15" customHeight="1" x14ac:dyDescent="0.3">
      <c r="A86" s="6">
        <v>45446</v>
      </c>
      <c r="B86" s="7" t="s">
        <v>22</v>
      </c>
      <c r="C86" s="7" t="s">
        <v>26</v>
      </c>
      <c r="D86" s="7" t="s">
        <v>31</v>
      </c>
      <c r="E86" s="7">
        <v>410</v>
      </c>
      <c r="F86" s="8">
        <v>52.03</v>
      </c>
      <c r="G86" s="8">
        <v>26.53</v>
      </c>
      <c r="H86" s="8">
        <v>1390.74</v>
      </c>
      <c r="I86" s="9">
        <f t="shared" si="8"/>
        <v>21332.3</v>
      </c>
      <c r="J86" s="9">
        <f t="shared" si="9"/>
        <v>12268.04</v>
      </c>
      <c r="K86" s="9">
        <f t="shared" si="10"/>
        <v>9064.2599999999984</v>
      </c>
      <c r="L86" s="10">
        <f t="shared" si="11"/>
        <v>0.42490776897005944</v>
      </c>
    </row>
    <row r="87" spans="1:12" ht="15" customHeight="1" x14ac:dyDescent="0.3">
      <c r="A87" s="11">
        <v>45327</v>
      </c>
      <c r="B87" s="12" t="s">
        <v>22</v>
      </c>
      <c r="C87" s="12" t="s">
        <v>29</v>
      </c>
      <c r="D87" s="12" t="s">
        <v>20</v>
      </c>
      <c r="E87" s="12">
        <v>444</v>
      </c>
      <c r="F87" s="13">
        <v>347.65</v>
      </c>
      <c r="G87" s="13">
        <v>172.8</v>
      </c>
      <c r="H87" s="13">
        <v>980.34</v>
      </c>
      <c r="I87" s="14">
        <f t="shared" si="8"/>
        <v>154356.59999999998</v>
      </c>
      <c r="J87" s="14">
        <f t="shared" si="9"/>
        <v>77703.540000000008</v>
      </c>
      <c r="K87" s="14">
        <f t="shared" si="10"/>
        <v>76653.059999999969</v>
      </c>
      <c r="L87" s="15">
        <f t="shared" si="11"/>
        <v>0.49659723005041562</v>
      </c>
    </row>
    <row r="88" spans="1:12" ht="15" customHeight="1" x14ac:dyDescent="0.3">
      <c r="A88" s="6">
        <v>45477</v>
      </c>
      <c r="B88" s="7" t="s">
        <v>22</v>
      </c>
      <c r="C88" s="7" t="s">
        <v>23</v>
      </c>
      <c r="D88" s="7" t="s">
        <v>21</v>
      </c>
      <c r="E88" s="7">
        <v>232</v>
      </c>
      <c r="F88" s="8">
        <v>157.38999999999999</v>
      </c>
      <c r="G88" s="8">
        <v>79.72</v>
      </c>
      <c r="H88" s="8">
        <v>1370.82</v>
      </c>
      <c r="I88" s="9">
        <f t="shared" si="8"/>
        <v>36514.479999999996</v>
      </c>
      <c r="J88" s="9">
        <f t="shared" si="9"/>
        <v>19865.86</v>
      </c>
      <c r="K88" s="9">
        <f t="shared" si="10"/>
        <v>16648.619999999995</v>
      </c>
      <c r="L88" s="10">
        <f t="shared" si="11"/>
        <v>0.45594569606358892</v>
      </c>
    </row>
    <row r="89" spans="1:12" ht="15" customHeight="1" x14ac:dyDescent="0.3">
      <c r="A89" s="11">
        <v>45607</v>
      </c>
      <c r="B89" s="12" t="s">
        <v>22</v>
      </c>
      <c r="C89" s="12" t="s">
        <v>23</v>
      </c>
      <c r="D89" s="12" t="s">
        <v>27</v>
      </c>
      <c r="E89" s="12">
        <v>233</v>
      </c>
      <c r="F89" s="13">
        <v>664.07</v>
      </c>
      <c r="G89" s="13">
        <v>350.46</v>
      </c>
      <c r="H89" s="13">
        <v>780.15</v>
      </c>
      <c r="I89" s="14">
        <f t="shared" si="8"/>
        <v>154728.31</v>
      </c>
      <c r="J89" s="14">
        <f t="shared" si="9"/>
        <v>82437.329999999987</v>
      </c>
      <c r="K89" s="14">
        <f t="shared" si="10"/>
        <v>72290.98000000001</v>
      </c>
      <c r="L89" s="15">
        <f t="shared" si="11"/>
        <v>0.46721236727784343</v>
      </c>
    </row>
    <row r="90" spans="1:12" ht="15" customHeight="1" x14ac:dyDescent="0.3">
      <c r="A90" s="6">
        <v>45417</v>
      </c>
      <c r="B90" s="7" t="s">
        <v>16</v>
      </c>
      <c r="C90" s="7" t="s">
        <v>32</v>
      </c>
      <c r="D90" s="7" t="s">
        <v>27</v>
      </c>
      <c r="E90" s="7">
        <v>134</v>
      </c>
      <c r="F90" s="8">
        <v>605.37</v>
      </c>
      <c r="G90" s="8">
        <v>315.37</v>
      </c>
      <c r="H90" s="8">
        <v>1402.74</v>
      </c>
      <c r="I90" s="9">
        <f t="shared" si="8"/>
        <v>81119.58</v>
      </c>
      <c r="J90" s="9">
        <f t="shared" si="9"/>
        <v>43662.32</v>
      </c>
      <c r="K90" s="9">
        <f t="shared" si="10"/>
        <v>37457.26</v>
      </c>
      <c r="L90" s="10">
        <f t="shared" si="11"/>
        <v>0.46175362347783361</v>
      </c>
    </row>
    <row r="91" spans="1:12" ht="15" customHeight="1" x14ac:dyDescent="0.3">
      <c r="A91" s="11">
        <v>45464</v>
      </c>
      <c r="B91" s="12" t="s">
        <v>16</v>
      </c>
      <c r="C91" s="12" t="s">
        <v>19</v>
      </c>
      <c r="D91" s="12" t="s">
        <v>18</v>
      </c>
      <c r="E91" s="12">
        <v>103</v>
      </c>
      <c r="F91" s="13">
        <v>400.29</v>
      </c>
      <c r="G91" s="13">
        <v>182.71</v>
      </c>
      <c r="H91" s="13">
        <v>665.03</v>
      </c>
      <c r="I91" s="14">
        <f t="shared" si="8"/>
        <v>41229.870000000003</v>
      </c>
      <c r="J91" s="14">
        <f t="shared" si="9"/>
        <v>19484.16</v>
      </c>
      <c r="K91" s="14">
        <f t="shared" si="10"/>
        <v>21745.710000000003</v>
      </c>
      <c r="L91" s="15">
        <f t="shared" si="11"/>
        <v>0.52742611121500027</v>
      </c>
    </row>
    <row r="92" spans="1:12" ht="15" customHeight="1" x14ac:dyDescent="0.3">
      <c r="A92" s="6">
        <v>45435</v>
      </c>
      <c r="B92" s="7" t="s">
        <v>22</v>
      </c>
      <c r="C92" s="7" t="s">
        <v>29</v>
      </c>
      <c r="D92" s="7" t="s">
        <v>31</v>
      </c>
      <c r="E92" s="7">
        <v>15</v>
      </c>
      <c r="F92" s="8">
        <v>422.97</v>
      </c>
      <c r="G92" s="8">
        <v>172.28</v>
      </c>
      <c r="H92" s="8">
        <v>634.44000000000005</v>
      </c>
      <c r="I92" s="9">
        <f t="shared" si="8"/>
        <v>6344.55</v>
      </c>
      <c r="J92" s="9">
        <f t="shared" si="9"/>
        <v>3218.64</v>
      </c>
      <c r="K92" s="9">
        <f t="shared" si="10"/>
        <v>3125.9100000000003</v>
      </c>
      <c r="L92" s="10">
        <f t="shared" si="11"/>
        <v>0.49269215310778547</v>
      </c>
    </row>
    <row r="93" spans="1:12" ht="15" customHeight="1" x14ac:dyDescent="0.3">
      <c r="A93" s="11">
        <v>45500</v>
      </c>
      <c r="B93" s="12" t="s">
        <v>24</v>
      </c>
      <c r="C93" s="12" t="s">
        <v>33</v>
      </c>
      <c r="D93" s="12" t="s">
        <v>27</v>
      </c>
      <c r="E93" s="12">
        <v>340</v>
      </c>
      <c r="F93" s="13">
        <v>575.24</v>
      </c>
      <c r="G93" s="13">
        <v>278.68</v>
      </c>
      <c r="H93" s="13">
        <v>231.04</v>
      </c>
      <c r="I93" s="14">
        <f t="shared" si="8"/>
        <v>195581.6</v>
      </c>
      <c r="J93" s="14">
        <f t="shared" si="9"/>
        <v>94982.239999999991</v>
      </c>
      <c r="K93" s="14">
        <f t="shared" si="10"/>
        <v>100599.36000000002</v>
      </c>
      <c r="L93" s="15">
        <f t="shared" si="11"/>
        <v>0.51436004204894537</v>
      </c>
    </row>
    <row r="94" spans="1:12" ht="15" customHeight="1" x14ac:dyDescent="0.3">
      <c r="A94" s="6">
        <v>45442</v>
      </c>
      <c r="B94" s="7" t="s">
        <v>16</v>
      </c>
      <c r="C94" s="7" t="s">
        <v>19</v>
      </c>
      <c r="D94" s="7" t="s">
        <v>21</v>
      </c>
      <c r="E94" s="7">
        <v>166</v>
      </c>
      <c r="F94" s="8">
        <v>537.89</v>
      </c>
      <c r="G94" s="8">
        <v>247.81</v>
      </c>
      <c r="H94" s="8">
        <v>1196.25</v>
      </c>
      <c r="I94" s="9">
        <f t="shared" si="8"/>
        <v>89289.739999999991</v>
      </c>
      <c r="J94" s="9">
        <f t="shared" si="9"/>
        <v>42332.71</v>
      </c>
      <c r="K94" s="9">
        <f t="shared" si="10"/>
        <v>46957.029999999992</v>
      </c>
      <c r="L94" s="10">
        <f t="shared" si="11"/>
        <v>0.5258950244451378</v>
      </c>
    </row>
    <row r="95" spans="1:12" ht="15" customHeight="1" x14ac:dyDescent="0.3">
      <c r="A95" s="11">
        <v>45468</v>
      </c>
      <c r="B95" s="12" t="s">
        <v>24</v>
      </c>
      <c r="C95" s="12" t="s">
        <v>30</v>
      </c>
      <c r="D95" s="12" t="s">
        <v>18</v>
      </c>
      <c r="E95" s="12">
        <v>369</v>
      </c>
      <c r="F95" s="13">
        <v>373.92</v>
      </c>
      <c r="G95" s="13">
        <v>165.27</v>
      </c>
      <c r="H95" s="13">
        <v>614.97</v>
      </c>
      <c r="I95" s="14">
        <f t="shared" si="8"/>
        <v>137976.48000000001</v>
      </c>
      <c r="J95" s="14">
        <f t="shared" si="9"/>
        <v>61599.600000000006</v>
      </c>
      <c r="K95" s="14">
        <f t="shared" si="10"/>
        <v>76376.88</v>
      </c>
      <c r="L95" s="15">
        <f t="shared" si="11"/>
        <v>0.55354999634720348</v>
      </c>
    </row>
    <row r="96" spans="1:12" ht="15" customHeight="1" x14ac:dyDescent="0.3">
      <c r="A96" s="6">
        <v>45390</v>
      </c>
      <c r="B96" s="7" t="s">
        <v>24</v>
      </c>
      <c r="C96" s="7" t="s">
        <v>25</v>
      </c>
      <c r="D96" s="7" t="s">
        <v>31</v>
      </c>
      <c r="E96" s="7">
        <v>496</v>
      </c>
      <c r="F96" s="8">
        <v>614.51</v>
      </c>
      <c r="G96" s="8">
        <v>249.21</v>
      </c>
      <c r="H96" s="8">
        <v>589.49</v>
      </c>
      <c r="I96" s="9">
        <f t="shared" si="8"/>
        <v>304796.96000000002</v>
      </c>
      <c r="J96" s="9">
        <f t="shared" si="9"/>
        <v>124197.65000000001</v>
      </c>
      <c r="K96" s="9">
        <f t="shared" si="10"/>
        <v>180599.31</v>
      </c>
      <c r="L96" s="10">
        <f t="shared" si="11"/>
        <v>0.59252333094135845</v>
      </c>
    </row>
    <row r="97" spans="1:12" ht="15" customHeight="1" x14ac:dyDescent="0.3">
      <c r="A97" s="11">
        <v>45539</v>
      </c>
      <c r="B97" s="12" t="s">
        <v>24</v>
      </c>
      <c r="C97" s="12" t="s">
        <v>30</v>
      </c>
      <c r="D97" s="12" t="s">
        <v>20</v>
      </c>
      <c r="E97" s="12">
        <v>436</v>
      </c>
      <c r="F97" s="13">
        <v>171.41</v>
      </c>
      <c r="G97" s="13">
        <v>71.69</v>
      </c>
      <c r="H97" s="13">
        <v>522.99</v>
      </c>
      <c r="I97" s="14">
        <f t="shared" si="8"/>
        <v>74734.759999999995</v>
      </c>
      <c r="J97" s="14">
        <f t="shared" si="9"/>
        <v>31779.83</v>
      </c>
      <c r="K97" s="14">
        <f t="shared" si="10"/>
        <v>42954.929999999993</v>
      </c>
      <c r="L97" s="15">
        <f t="shared" si="11"/>
        <v>0.57476507584957781</v>
      </c>
    </row>
    <row r="98" spans="1:12" ht="15" customHeight="1" x14ac:dyDescent="0.3">
      <c r="A98" s="6">
        <v>45299</v>
      </c>
      <c r="B98" s="7" t="s">
        <v>22</v>
      </c>
      <c r="C98" s="7" t="s">
        <v>28</v>
      </c>
      <c r="D98" s="7" t="s">
        <v>18</v>
      </c>
      <c r="E98" s="7">
        <v>33</v>
      </c>
      <c r="F98" s="8">
        <v>779.95</v>
      </c>
      <c r="G98" s="8">
        <v>402.46</v>
      </c>
      <c r="H98" s="8">
        <v>1455.35</v>
      </c>
      <c r="I98" s="9">
        <f t="shared" si="8"/>
        <v>25738.350000000002</v>
      </c>
      <c r="J98" s="9">
        <f t="shared" si="9"/>
        <v>14736.529999999999</v>
      </c>
      <c r="K98" s="9">
        <f t="shared" si="10"/>
        <v>11001.820000000003</v>
      </c>
      <c r="L98" s="10">
        <f t="shared" si="11"/>
        <v>0.42744853496824786</v>
      </c>
    </row>
    <row r="99" spans="1:12" ht="15" customHeight="1" x14ac:dyDescent="0.3">
      <c r="A99" s="11">
        <v>45356</v>
      </c>
      <c r="B99" s="12" t="s">
        <v>22</v>
      </c>
      <c r="C99" s="12" t="s">
        <v>23</v>
      </c>
      <c r="D99" s="12" t="s">
        <v>20</v>
      </c>
      <c r="E99" s="12">
        <v>456</v>
      </c>
      <c r="F99" s="13">
        <v>29.57</v>
      </c>
      <c r="G99" s="13">
        <v>12.87</v>
      </c>
      <c r="H99" s="13">
        <v>1061.69</v>
      </c>
      <c r="I99" s="14">
        <f t="shared" si="8"/>
        <v>13483.92</v>
      </c>
      <c r="J99" s="14">
        <f t="shared" si="9"/>
        <v>6930.41</v>
      </c>
      <c r="K99" s="14">
        <f t="shared" si="10"/>
        <v>6553.51</v>
      </c>
      <c r="L99" s="15">
        <f t="shared" si="11"/>
        <v>0.48602409388367773</v>
      </c>
    </row>
    <row r="100" spans="1:12" ht="15" customHeight="1" x14ac:dyDescent="0.3">
      <c r="A100" s="6">
        <v>45466</v>
      </c>
      <c r="B100" s="7" t="s">
        <v>16</v>
      </c>
      <c r="C100" s="7" t="s">
        <v>17</v>
      </c>
      <c r="D100" s="7" t="s">
        <v>18</v>
      </c>
      <c r="E100" s="7">
        <v>491</v>
      </c>
      <c r="F100" s="8">
        <v>692.14</v>
      </c>
      <c r="G100" s="8">
        <v>265.94</v>
      </c>
      <c r="H100" s="8">
        <v>317.62</v>
      </c>
      <c r="I100" s="9">
        <f t="shared" si="8"/>
        <v>339840.74</v>
      </c>
      <c r="J100" s="9">
        <f t="shared" si="9"/>
        <v>130894.15999999999</v>
      </c>
      <c r="K100" s="9">
        <f t="shared" ref="K100:K103" si="12">I100-J100</f>
        <v>208946.58000000002</v>
      </c>
      <c r="L100" s="10">
        <f t="shared" ref="L100:L103" si="13">IF(I100&lt;&gt;0,K100/I100,0)</f>
        <v>0.61483676147833255</v>
      </c>
    </row>
    <row r="101" spans="1:12" ht="15" customHeight="1" x14ac:dyDescent="0.3">
      <c r="A101" s="11">
        <v>45543</v>
      </c>
      <c r="B101" s="12" t="s">
        <v>16</v>
      </c>
      <c r="C101" s="12" t="s">
        <v>17</v>
      </c>
      <c r="D101" s="12" t="s">
        <v>21</v>
      </c>
      <c r="E101" s="12">
        <v>86</v>
      </c>
      <c r="F101" s="13">
        <v>652.69000000000005</v>
      </c>
      <c r="G101" s="13">
        <v>414.29</v>
      </c>
      <c r="H101" s="13">
        <v>353.33</v>
      </c>
      <c r="I101" s="14">
        <f t="shared" si="8"/>
        <v>56131.340000000004</v>
      </c>
      <c r="J101" s="14">
        <f t="shared" si="9"/>
        <v>35982.270000000004</v>
      </c>
      <c r="K101" s="14">
        <f t="shared" si="12"/>
        <v>20149.07</v>
      </c>
      <c r="L101" s="15">
        <f t="shared" si="13"/>
        <v>0.35896292516800771</v>
      </c>
    </row>
    <row r="102" spans="1:12" ht="15" customHeight="1" x14ac:dyDescent="0.3">
      <c r="A102" s="6">
        <v>45419</v>
      </c>
      <c r="B102" s="7" t="s">
        <v>16</v>
      </c>
      <c r="C102" s="7" t="s">
        <v>19</v>
      </c>
      <c r="D102" s="7" t="s">
        <v>31</v>
      </c>
      <c r="E102" s="7">
        <v>315</v>
      </c>
      <c r="F102" s="8">
        <v>636.78</v>
      </c>
      <c r="G102" s="8">
        <v>265.99</v>
      </c>
      <c r="H102" s="8">
        <v>1140.6300000000001</v>
      </c>
      <c r="I102" s="9">
        <f t="shared" si="8"/>
        <v>200585.69999999998</v>
      </c>
      <c r="J102" s="9">
        <f t="shared" si="9"/>
        <v>84927.48000000001</v>
      </c>
      <c r="K102" s="9">
        <f t="shared" si="12"/>
        <v>115658.21999999997</v>
      </c>
      <c r="L102" s="10">
        <f t="shared" si="13"/>
        <v>0.57660251952158093</v>
      </c>
    </row>
    <row r="103" spans="1:12" ht="15" customHeight="1" x14ac:dyDescent="0.3">
      <c r="A103" s="11">
        <v>45522</v>
      </c>
      <c r="B103" s="12" t="s">
        <v>24</v>
      </c>
      <c r="C103" s="12" t="s">
        <v>30</v>
      </c>
      <c r="D103" s="12" t="s">
        <v>31</v>
      </c>
      <c r="E103" s="12">
        <v>229</v>
      </c>
      <c r="F103" s="13">
        <v>258.2</v>
      </c>
      <c r="G103" s="13">
        <v>138.47</v>
      </c>
      <c r="H103" s="13">
        <v>1297.3399999999999</v>
      </c>
      <c r="I103" s="14">
        <f t="shared" si="8"/>
        <v>59127.799999999996</v>
      </c>
      <c r="J103" s="14">
        <f t="shared" si="9"/>
        <v>33006.97</v>
      </c>
      <c r="K103" s="14">
        <f t="shared" si="12"/>
        <v>26120.829999999994</v>
      </c>
      <c r="L103" s="15">
        <f t="shared" si="13"/>
        <v>0.44176901558995929</v>
      </c>
    </row>
    <row r="104" spans="1:12" ht="18" customHeight="1" x14ac:dyDescent="0.3">
      <c r="A104" s="5" t="s">
        <v>36</v>
      </c>
      <c r="B104" s="16"/>
      <c r="C104" s="16"/>
      <c r="D104" s="16"/>
      <c r="E104" s="17">
        <f t="shared" ref="E104:L104" si="14">SUM(E4:E103)</f>
        <v>25923</v>
      </c>
      <c r="F104" s="18">
        <f t="shared" si="14"/>
        <v>43863.669999999991</v>
      </c>
      <c r="G104" s="18">
        <f t="shared" si="14"/>
        <v>21946.089999999997</v>
      </c>
      <c r="H104" s="18">
        <f t="shared" si="14"/>
        <v>97897.180000000037</v>
      </c>
      <c r="I104" s="18">
        <f t="shared" si="14"/>
        <v>11247323.920000004</v>
      </c>
      <c r="J104" s="18">
        <f t="shared" si="14"/>
        <v>5657718.6400000006</v>
      </c>
      <c r="K104" s="18">
        <f t="shared" si="14"/>
        <v>5589605.2799999993</v>
      </c>
      <c r="L104" s="19">
        <f t="shared" si="14"/>
        <v>46.284394274923073</v>
      </c>
    </row>
  </sheetData>
  <mergeCells count="1">
    <mergeCell ref="A1:L1"/>
  </mergeCells>
  <conditionalFormatting sqref="L4:L103">
    <cfRule type="colorScale" priority="2">
      <colorScale>
        <cfvo type="percentile" val="10"/>
        <cfvo type="percentile" val="50"/>
        <cfvo type="percentile" val="90"/>
        <color rgb="FFC0392B"/>
        <color rgb="FFF7DC6F"/>
        <color rgb="FF1E8449"/>
      </colorScale>
    </cfRule>
  </conditionalFormatting>
  <conditionalFormatting sqref="I4:I103">
    <cfRule type="dataBar" priority="3">
      <dataBar>
        <cfvo type="min"/>
        <cfvo type="max"/>
        <color rgb="FF2E86C1"/>
      </dataBar>
      <extLst>
        <ext xmlns:x14="http://schemas.microsoft.com/office/spreadsheetml/2009/9/main" uri="{B025F937-C7B1-47D3-B67F-A62EFF666E3E}">
          <x14:id>{E640CEA4-CC30-4343-A4B1-62DB8EFA247E}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40CEA4-CC30-4343-A4B1-62DB8EFA247E}">
            <x14:dataBar axisPosition="none">
              <x14:cfvo type="min"/>
              <x14:cfvo type="max"/>
              <x14:negativeFillColor rgb="FF2E86C1"/>
            </x14:dataBar>
          </x14:cfRule>
          <xm:sqref>I4:I103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589"/>
  </sheetPr>
  <dimension ref="A1:F25"/>
  <sheetViews>
    <sheetView showGridLines="0" zoomScaleNormal="100" workbookViewId="0">
      <pane ySplit="2" topLeftCell="A3" activePane="bottomLeft" state="frozen"/>
      <selection pane="bottomLeft" activeCell="E36" sqref="E36"/>
    </sheetView>
  </sheetViews>
  <sheetFormatPr defaultColWidth="8.6640625" defaultRowHeight="14.4" x14ac:dyDescent="0.3"/>
  <cols>
    <col min="1" max="6" width="16" style="1" customWidth="1"/>
  </cols>
  <sheetData>
    <row r="1" spans="1:6" ht="15.75" customHeight="1" x14ac:dyDescent="0.3">
      <c r="A1" s="72" t="s">
        <v>37</v>
      </c>
      <c r="B1" s="72"/>
      <c r="C1" s="72"/>
      <c r="D1" s="72"/>
      <c r="E1" s="72"/>
      <c r="F1" s="72"/>
    </row>
    <row r="2" spans="1:6" ht="15" customHeight="1" x14ac:dyDescent="0.3">
      <c r="A2" s="20" t="s">
        <v>38</v>
      </c>
      <c r="B2" s="73"/>
      <c r="C2" s="73"/>
      <c r="D2" s="73"/>
      <c r="E2" s="73"/>
      <c r="F2" s="73"/>
    </row>
    <row r="3" spans="1:6" ht="15" customHeight="1" x14ac:dyDescent="0.3">
      <c r="A3" s="21" t="s">
        <v>39</v>
      </c>
      <c r="B3" s="22">
        <f>SUM(Raw_Data!I4:I103)</f>
        <v>11247323.920000004</v>
      </c>
      <c r="C3" s="23"/>
      <c r="D3" s="23"/>
      <c r="E3" s="23"/>
      <c r="F3" s="23"/>
    </row>
    <row r="4" spans="1:6" ht="15" customHeight="1" x14ac:dyDescent="0.3">
      <c r="A4" s="21" t="s">
        <v>40</v>
      </c>
      <c r="B4" s="22">
        <f>SUM(Raw_Data!J4:J103)</f>
        <v>5657718.6400000006</v>
      </c>
      <c r="C4" s="23"/>
      <c r="D4" s="23"/>
      <c r="E4" s="23"/>
      <c r="F4" s="23"/>
    </row>
    <row r="5" spans="1:6" ht="15" customHeight="1" x14ac:dyDescent="0.3">
      <c r="A5" s="21" t="s">
        <v>41</v>
      </c>
      <c r="B5" s="22">
        <f>SUM(Raw_Data!K4:K103)</f>
        <v>5589605.2799999993</v>
      </c>
      <c r="C5" s="23"/>
      <c r="D5" s="23"/>
      <c r="E5" s="23"/>
      <c r="F5" s="23"/>
    </row>
    <row r="6" spans="1:6" ht="15" customHeight="1" x14ac:dyDescent="0.3">
      <c r="A6" s="21" t="s">
        <v>42</v>
      </c>
      <c r="B6" s="24">
        <f>AVERAGE(Raw_Data!L4:L103)</f>
        <v>0.46284394274923074</v>
      </c>
      <c r="C6" s="23"/>
      <c r="D6" s="23"/>
      <c r="E6" s="23"/>
      <c r="F6" s="23"/>
    </row>
    <row r="7" spans="1:6" ht="15" customHeight="1" x14ac:dyDescent="0.3">
      <c r="A7" s="21" t="s">
        <v>43</v>
      </c>
      <c r="B7" s="25">
        <f>SUM(Raw_Data!E4:E103)</f>
        <v>25923</v>
      </c>
      <c r="C7" s="23"/>
      <c r="D7" s="23"/>
      <c r="E7" s="23"/>
      <c r="F7" s="23"/>
    </row>
    <row r="8" spans="1:6" ht="15" customHeight="1" x14ac:dyDescent="0.3">
      <c r="A8" s="21" t="s">
        <v>44</v>
      </c>
      <c r="B8" s="22">
        <f>B3/B7</f>
        <v>433.87431701577765</v>
      </c>
      <c r="C8" s="23"/>
      <c r="D8" s="23"/>
      <c r="E8" s="23"/>
      <c r="F8" s="23"/>
    </row>
    <row r="9" spans="1:6" ht="15" customHeight="1" x14ac:dyDescent="0.3">
      <c r="A9" s="21" t="s">
        <v>45</v>
      </c>
      <c r="B9" s="24">
        <f>B5/B3</f>
        <v>0.49697201927834206</v>
      </c>
      <c r="C9" s="23"/>
      <c r="D9" s="23"/>
      <c r="E9" s="23"/>
      <c r="F9" s="23"/>
    </row>
    <row r="11" spans="1:6" ht="15" customHeight="1" x14ac:dyDescent="0.3">
      <c r="A11" s="20" t="s">
        <v>46</v>
      </c>
      <c r="B11" s="73"/>
      <c r="C11" s="73"/>
      <c r="D11" s="73"/>
      <c r="E11" s="73"/>
      <c r="F11" s="73"/>
    </row>
    <row r="12" spans="1:6" ht="15" customHeight="1" x14ac:dyDescent="0.3">
      <c r="A12" s="26" t="s">
        <v>7</v>
      </c>
      <c r="B12" s="26" t="s">
        <v>12</v>
      </c>
      <c r="C12" s="26" t="s">
        <v>47</v>
      </c>
      <c r="D12" s="26" t="s">
        <v>14</v>
      </c>
      <c r="E12" s="26" t="s">
        <v>15</v>
      </c>
      <c r="F12" s="26" t="s">
        <v>48</v>
      </c>
    </row>
    <row r="13" spans="1:6" ht="15" customHeight="1" x14ac:dyDescent="0.3">
      <c r="A13" s="21" t="s">
        <v>20</v>
      </c>
      <c r="B13" s="27">
        <f>SUMIFS(Raw_Data!I:I,Raw_Data!D:D,A13)</f>
        <v>1744945.49</v>
      </c>
      <c r="C13" s="27">
        <f>SUMIFS(Raw_Data!J:J,Raw_Data!D:D,A13)</f>
        <v>978752.51</v>
      </c>
      <c r="D13" s="27">
        <f>SUMIFS(Raw_Data!K:K,Raw_Data!D:D,A13)</f>
        <v>766192.98</v>
      </c>
      <c r="E13" s="28">
        <f>D13/B13</f>
        <v>0.4390927879357423</v>
      </c>
      <c r="F13" s="29">
        <f>SUMIFS(Raw_Data!E:E,Raw_Data!D:D,A13)</f>
        <v>5301</v>
      </c>
    </row>
    <row r="14" spans="1:6" ht="15" customHeight="1" x14ac:dyDescent="0.3">
      <c r="A14" s="30" t="s">
        <v>21</v>
      </c>
      <c r="B14" s="22">
        <f>SUMIFS(Raw_Data!I:I,Raw_Data!D:D,A14)</f>
        <v>2422198.9399999995</v>
      </c>
      <c r="C14" s="22">
        <f>SUMIFS(Raw_Data!J:J,Raw_Data!D:D,A14)</f>
        <v>1187496.1100000001</v>
      </c>
      <c r="D14" s="22">
        <f>SUMIFS(Raw_Data!K:K,Raw_Data!D:D,A14)</f>
        <v>1234702.83</v>
      </c>
      <c r="E14" s="24">
        <f>D14/B14</f>
        <v>0.50974460008639932</v>
      </c>
      <c r="F14" s="25">
        <f>SUMIFS(Raw_Data!E:E,Raw_Data!D:D,A14)</f>
        <v>6204</v>
      </c>
    </row>
    <row r="15" spans="1:6" ht="15" customHeight="1" x14ac:dyDescent="0.3">
      <c r="A15" s="21" t="s">
        <v>18</v>
      </c>
      <c r="B15" s="27">
        <f>SUMIFS(Raw_Data!I:I,Raw_Data!D:D,A15)</f>
        <v>2188732.0599999996</v>
      </c>
      <c r="C15" s="27">
        <f>SUMIFS(Raw_Data!J:J,Raw_Data!D:D,A15)</f>
        <v>1063280.2</v>
      </c>
      <c r="D15" s="27">
        <f>SUMIFS(Raw_Data!K:K,Raw_Data!D:D,A15)</f>
        <v>1125451.8599999999</v>
      </c>
      <c r="E15" s="28">
        <f>D15/B15</f>
        <v>0.5142026658119131</v>
      </c>
      <c r="F15" s="29">
        <f>SUMIFS(Raw_Data!E:E,Raw_Data!D:D,A15)</f>
        <v>4260</v>
      </c>
    </row>
    <row r="16" spans="1:6" ht="15" customHeight="1" x14ac:dyDescent="0.3">
      <c r="A16" s="30" t="s">
        <v>27</v>
      </c>
      <c r="B16" s="22">
        <f>SUMIFS(Raw_Data!I:I,Raw_Data!D:D,A16)</f>
        <v>2796225.54</v>
      </c>
      <c r="C16" s="22">
        <f>SUMIFS(Raw_Data!J:J,Raw_Data!D:D,A16)</f>
        <v>1443724.1800000002</v>
      </c>
      <c r="D16" s="22">
        <f>SUMIFS(Raw_Data!K:K,Raw_Data!D:D,A16)</f>
        <v>1352501.3599999999</v>
      </c>
      <c r="E16" s="24">
        <f>D16/B16</f>
        <v>0.48368822208812234</v>
      </c>
      <c r="F16" s="25">
        <f>SUMIFS(Raw_Data!E:E,Raw_Data!D:D,A16)</f>
        <v>5157</v>
      </c>
    </row>
    <row r="17" spans="1:6" ht="15" customHeight="1" x14ac:dyDescent="0.3">
      <c r="A17" s="21" t="s">
        <v>31</v>
      </c>
      <c r="B17" s="27">
        <f>SUMIFS(Raw_Data!I:I,Raw_Data!D:D,A17)</f>
        <v>2095221.8899999997</v>
      </c>
      <c r="C17" s="27">
        <f>SUMIFS(Raw_Data!J:J,Raw_Data!D:D,A17)</f>
        <v>984465.64</v>
      </c>
      <c r="D17" s="27">
        <f>SUMIFS(Raw_Data!K:K,Raw_Data!D:D,A17)</f>
        <v>1110756.25</v>
      </c>
      <c r="E17" s="28">
        <f>D17/B17</f>
        <v>0.53013776502688226</v>
      </c>
      <c r="F17" s="29">
        <f>SUMIFS(Raw_Data!E:E,Raw_Data!D:D,A17)</f>
        <v>5001</v>
      </c>
    </row>
    <row r="18" spans="1:6" ht="15" customHeight="1" x14ac:dyDescent="0.3">
      <c r="A18" s="31" t="s">
        <v>49</v>
      </c>
      <c r="B18" s="18">
        <f>SUM(B13:B17)</f>
        <v>11247323.919999998</v>
      </c>
      <c r="C18" s="18">
        <f>SUM(C13:C17)</f>
        <v>5657718.6399999997</v>
      </c>
      <c r="D18" s="18">
        <f>SUM(D13:D17)</f>
        <v>5589605.2799999993</v>
      </c>
      <c r="E18" s="19">
        <f>SUM(E13:E17)</f>
        <v>2.4768660409490595</v>
      </c>
      <c r="F18" s="17">
        <f>SUM(F13:F17)</f>
        <v>25923</v>
      </c>
    </row>
    <row r="21" spans="1:6" ht="15" customHeight="1" x14ac:dyDescent="0.3">
      <c r="A21" s="20" t="s">
        <v>50</v>
      </c>
      <c r="B21" s="73"/>
      <c r="C21" s="73"/>
      <c r="D21" s="73"/>
      <c r="E21" s="73"/>
      <c r="F21" s="73"/>
    </row>
    <row r="22" spans="1:6" ht="15" customHeight="1" x14ac:dyDescent="0.3">
      <c r="A22" s="26" t="s">
        <v>51</v>
      </c>
      <c r="B22" s="26" t="s">
        <v>12</v>
      </c>
      <c r="C22" s="26" t="s">
        <v>14</v>
      </c>
      <c r="D22" s="26" t="s">
        <v>15</v>
      </c>
      <c r="E22" s="26" t="s">
        <v>52</v>
      </c>
      <c r="F22" s="26" t="s">
        <v>48</v>
      </c>
    </row>
    <row r="23" spans="1:6" ht="15" customHeight="1" x14ac:dyDescent="0.3">
      <c r="A23" s="21" t="s">
        <v>16</v>
      </c>
      <c r="B23" s="27">
        <f>SUMIFS(Raw_Data!I:I,Raw_Data!B:B,A23)</f>
        <v>4624425.6800000006</v>
      </c>
      <c r="C23" s="27">
        <f>SUMIFS(Raw_Data!K:K,Raw_Data!B:B,A23)</f>
        <v>2287080.7699999996</v>
      </c>
      <c r="D23" s="28">
        <f>C23/B23</f>
        <v>0.49456536406051599</v>
      </c>
      <c r="E23" s="28">
        <f>B23/B$3</f>
        <v>0.41115786411884536</v>
      </c>
      <c r="F23" s="29">
        <f>SUMIFS(Raw_Data!E:E,Raw_Data!B:B,A23)</f>
        <v>9195</v>
      </c>
    </row>
    <row r="24" spans="1:6" ht="15" customHeight="1" x14ac:dyDescent="0.3">
      <c r="A24" s="30" t="s">
        <v>24</v>
      </c>
      <c r="B24" s="22">
        <f>SUMIFS(Raw_Data!I:I,Raw_Data!B:B,A24)</f>
        <v>3416895.3899999997</v>
      </c>
      <c r="C24" s="22">
        <f>SUMIFS(Raw_Data!K:K,Raw_Data!B:B,A24)</f>
        <v>1662448.5800000003</v>
      </c>
      <c r="D24" s="24">
        <f>C24/B24</f>
        <v>0.48653774559952229</v>
      </c>
      <c r="E24" s="24">
        <f>B24/B$3</f>
        <v>0.30379629984018441</v>
      </c>
      <c r="F24" s="25">
        <f>SUMIFS(Raw_Data!E:E,Raw_Data!B:B,A24)</f>
        <v>6975</v>
      </c>
    </row>
    <row r="25" spans="1:6" ht="15" customHeight="1" x14ac:dyDescent="0.3">
      <c r="A25" s="21" t="s">
        <v>22</v>
      </c>
      <c r="B25" s="27">
        <f>SUMIFS(Raw_Data!I:I,Raw_Data!B:B,A25)</f>
        <v>3206002.8500000006</v>
      </c>
      <c r="C25" s="27">
        <f>SUMIFS(Raw_Data!K:K,Raw_Data!B:B,A25)</f>
        <v>1640075.9300000004</v>
      </c>
      <c r="D25" s="28">
        <f>C25/B25</f>
        <v>0.51156408984477353</v>
      </c>
      <c r="E25" s="28">
        <f>B25/B$3</f>
        <v>0.28504583604096995</v>
      </c>
      <c r="F25" s="29">
        <f>SUMIFS(Raw_Data!E:E,Raw_Data!B:B,A25)</f>
        <v>9753</v>
      </c>
    </row>
  </sheetData>
  <mergeCells count="4">
    <mergeCell ref="A1:F1"/>
    <mergeCell ref="B2:F2"/>
    <mergeCell ref="B11:F11"/>
    <mergeCell ref="B21:F21"/>
  </mergeCells>
  <conditionalFormatting sqref="E13:E17">
    <cfRule type="colorScale" priority="2">
      <colorScale>
        <cfvo type="min"/>
        <cfvo type="percentile" val="50"/>
        <cfvo type="max"/>
        <color rgb="FFC0392B"/>
        <color rgb="FFF7DC6F"/>
        <color rgb="FF1E8449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C0D"/>
  </sheetPr>
  <dimension ref="A1:D18"/>
  <sheetViews>
    <sheetView showGridLines="0" zoomScaleNormal="100" workbookViewId="0"/>
  </sheetViews>
  <sheetFormatPr defaultColWidth="8.6640625" defaultRowHeight="14.4" x14ac:dyDescent="0.3"/>
  <cols>
    <col min="1" max="1" width="26" style="1" customWidth="1"/>
    <col min="2" max="2" width="16" style="1" customWidth="1"/>
    <col min="3" max="3" width="20" style="1" customWidth="1"/>
    <col min="4" max="4" width="30" style="1" customWidth="1"/>
  </cols>
  <sheetData>
    <row r="1" spans="1:4" ht="15.75" customHeight="1" x14ac:dyDescent="0.3">
      <c r="A1" s="72" t="s">
        <v>53</v>
      </c>
      <c r="B1" s="72"/>
      <c r="C1" s="72"/>
      <c r="D1" s="72"/>
    </row>
    <row r="2" spans="1:4" ht="15" customHeight="1" x14ac:dyDescent="0.3">
      <c r="A2" s="26" t="s">
        <v>54</v>
      </c>
      <c r="B2" s="26" t="s">
        <v>55</v>
      </c>
      <c r="C2" s="26" t="s">
        <v>56</v>
      </c>
      <c r="D2" s="26" t="s">
        <v>57</v>
      </c>
    </row>
    <row r="3" spans="1:4" ht="15" customHeight="1" x14ac:dyDescent="0.3">
      <c r="A3" s="74" t="s">
        <v>58</v>
      </c>
      <c r="B3" s="74"/>
      <c r="C3" s="74"/>
      <c r="D3" s="74"/>
    </row>
    <row r="4" spans="1:4" ht="18" customHeight="1" x14ac:dyDescent="0.3">
      <c r="A4" s="30" t="s">
        <v>59</v>
      </c>
      <c r="B4" s="32">
        <v>0.08</v>
      </c>
      <c r="C4" s="33" t="s">
        <v>60</v>
      </c>
      <c r="D4" s="33" t="s">
        <v>61</v>
      </c>
    </row>
    <row r="5" spans="1:4" ht="18" customHeight="1" x14ac:dyDescent="0.3">
      <c r="A5" s="21" t="s">
        <v>62</v>
      </c>
      <c r="B5" s="32">
        <v>0.05</v>
      </c>
      <c r="C5" s="34" t="s">
        <v>63</v>
      </c>
      <c r="D5" s="34" t="s">
        <v>64</v>
      </c>
    </row>
    <row r="6" spans="1:4" ht="15" customHeight="1" x14ac:dyDescent="0.3">
      <c r="A6" s="74" t="s">
        <v>65</v>
      </c>
      <c r="B6" s="74"/>
      <c r="C6" s="74"/>
      <c r="D6" s="74"/>
    </row>
    <row r="7" spans="1:4" ht="18" customHeight="1" x14ac:dyDescent="0.3">
      <c r="A7" s="21" t="s">
        <v>66</v>
      </c>
      <c r="B7" s="32">
        <v>0.06</v>
      </c>
      <c r="C7" s="34" t="s">
        <v>67</v>
      </c>
      <c r="D7" s="34" t="s">
        <v>68</v>
      </c>
    </row>
    <row r="8" spans="1:4" ht="18" customHeight="1" x14ac:dyDescent="0.3">
      <c r="A8" s="30" t="s">
        <v>69</v>
      </c>
      <c r="B8" s="35">
        <v>500000</v>
      </c>
      <c r="C8" s="33" t="s">
        <v>70</v>
      </c>
      <c r="D8" s="33" t="s">
        <v>71</v>
      </c>
    </row>
    <row r="9" spans="1:4" ht="18" customHeight="1" x14ac:dyDescent="0.3">
      <c r="A9" s="21" t="s">
        <v>72</v>
      </c>
      <c r="B9" s="35">
        <v>200000</v>
      </c>
      <c r="C9" s="34" t="s">
        <v>73</v>
      </c>
      <c r="D9" s="34" t="s">
        <v>74</v>
      </c>
    </row>
    <row r="10" spans="1:4" ht="18" customHeight="1" x14ac:dyDescent="0.3">
      <c r="A10" s="30" t="s">
        <v>75</v>
      </c>
      <c r="B10" s="32">
        <v>0.12</v>
      </c>
      <c r="C10" s="33" t="s">
        <v>76</v>
      </c>
      <c r="D10" s="33" t="s">
        <v>77</v>
      </c>
    </row>
    <row r="11" spans="1:4" ht="15" customHeight="1" x14ac:dyDescent="0.3">
      <c r="A11" s="74" t="s">
        <v>78</v>
      </c>
      <c r="B11" s="74"/>
      <c r="C11" s="74"/>
      <c r="D11" s="74"/>
    </row>
    <row r="12" spans="1:4" ht="18" customHeight="1" x14ac:dyDescent="0.3">
      <c r="A12" s="30" t="s">
        <v>79</v>
      </c>
      <c r="B12" s="32">
        <v>0.2</v>
      </c>
      <c r="C12" s="33" t="s">
        <v>80</v>
      </c>
      <c r="D12" s="33" t="s">
        <v>81</v>
      </c>
    </row>
    <row r="13" spans="1:4" ht="15" customHeight="1" x14ac:dyDescent="0.3">
      <c r="A13" s="74" t="s">
        <v>82</v>
      </c>
      <c r="B13" s="74"/>
      <c r="C13" s="74"/>
      <c r="D13" s="74"/>
    </row>
    <row r="14" spans="1:4" ht="18" customHeight="1" x14ac:dyDescent="0.3">
      <c r="A14" s="30" t="s">
        <v>83</v>
      </c>
      <c r="B14" s="32">
        <v>0.12</v>
      </c>
      <c r="C14" s="33" t="s">
        <v>84</v>
      </c>
      <c r="D14" s="33" t="s">
        <v>85</v>
      </c>
    </row>
    <row r="15" spans="1:4" ht="18" customHeight="1" x14ac:dyDescent="0.3">
      <c r="A15" s="21" t="s">
        <v>86</v>
      </c>
      <c r="B15" s="32">
        <v>0.04</v>
      </c>
      <c r="C15" s="34" t="s">
        <v>87</v>
      </c>
      <c r="D15" s="34" t="s">
        <v>88</v>
      </c>
    </row>
    <row r="16" spans="1:4" ht="18" customHeight="1" x14ac:dyDescent="0.3">
      <c r="A16" s="30" t="s">
        <v>89</v>
      </c>
      <c r="B16" s="32">
        <v>6.5000000000000002E-2</v>
      </c>
      <c r="C16" s="33" t="s">
        <v>90</v>
      </c>
      <c r="D16" s="33" t="s">
        <v>91</v>
      </c>
    </row>
    <row r="17" spans="1:4" ht="18" customHeight="1" x14ac:dyDescent="0.3">
      <c r="A17" s="21" t="s">
        <v>92</v>
      </c>
      <c r="B17" s="32">
        <v>5.5E-2</v>
      </c>
      <c r="C17" s="34" t="s">
        <v>93</v>
      </c>
      <c r="D17" s="34" t="s">
        <v>94</v>
      </c>
    </row>
    <row r="18" spans="1:4" ht="18" customHeight="1" x14ac:dyDescent="0.3">
      <c r="A18" s="30" t="s">
        <v>95</v>
      </c>
      <c r="B18" s="36">
        <v>1.1499999999999999</v>
      </c>
      <c r="C18" s="33" t="s">
        <v>96</v>
      </c>
      <c r="D18" s="33" t="s">
        <v>97</v>
      </c>
    </row>
  </sheetData>
  <mergeCells count="5">
    <mergeCell ref="A1:D1"/>
    <mergeCell ref="A3:D3"/>
    <mergeCell ref="A6:D6"/>
    <mergeCell ref="A11:D11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A5C"/>
  </sheetPr>
  <dimension ref="A1:J16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31" sqref="E31"/>
    </sheetView>
  </sheetViews>
  <sheetFormatPr defaultColWidth="8.6640625" defaultRowHeight="14.4" x14ac:dyDescent="0.3"/>
  <cols>
    <col min="1" max="1" width="24.6640625" style="82" customWidth="1"/>
    <col min="2" max="2" width="24.6640625" style="1" customWidth="1"/>
    <col min="3" max="7" width="14" style="1" customWidth="1"/>
    <col min="8" max="8" width="12" style="1" customWidth="1"/>
    <col min="9" max="9" width="30" style="1" customWidth="1"/>
  </cols>
  <sheetData>
    <row r="1" spans="1:10" ht="15.75" customHeight="1" x14ac:dyDescent="0.3">
      <c r="A1" s="71" t="s">
        <v>98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5" customHeight="1" x14ac:dyDescent="0.3">
      <c r="A2" s="81" t="s">
        <v>107</v>
      </c>
      <c r="B2" s="76" t="s">
        <v>100</v>
      </c>
      <c r="C2" s="26" t="s">
        <v>101</v>
      </c>
      <c r="D2" s="26" t="s">
        <v>102</v>
      </c>
      <c r="E2" s="26" t="s">
        <v>103</v>
      </c>
      <c r="F2" s="26" t="s">
        <v>104</v>
      </c>
      <c r="G2" s="26" t="s">
        <v>105</v>
      </c>
      <c r="H2" s="26" t="s">
        <v>106</v>
      </c>
      <c r="I2" s="26" t="s">
        <v>57</v>
      </c>
    </row>
    <row r="3" spans="1:10" ht="15" customHeight="1" x14ac:dyDescent="0.3">
      <c r="A3" s="30" t="s">
        <v>12</v>
      </c>
      <c r="B3" s="77">
        <f>Calculations!B3</f>
        <v>11247323.920000004</v>
      </c>
      <c r="C3" s="9">
        <f>B3*(1+Assumptions!$B$4)</f>
        <v>12147109.833600005</v>
      </c>
      <c r="D3" s="9">
        <f>C3*(1+Assumptions!$B$4)</f>
        <v>13118878.620288007</v>
      </c>
      <c r="E3" s="9">
        <f>D3*(1+Assumptions!$B$4)</f>
        <v>14168388.909911048</v>
      </c>
      <c r="F3" s="9">
        <f>E3*(1+Assumptions!$B$4)</f>
        <v>15301860.022703933</v>
      </c>
      <c r="G3" s="9">
        <f>F3*(1+Assumptions!$B$4)</f>
        <v>16526008.824520249</v>
      </c>
      <c r="H3" s="37">
        <f>IFERROR((G3/B3)^(1/5)-1,0)</f>
        <v>8.0000000000000071E-2</v>
      </c>
      <c r="I3" s="83" t="s">
        <v>108</v>
      </c>
    </row>
    <row r="4" spans="1:10" ht="15" customHeight="1" x14ac:dyDescent="0.3">
      <c r="A4" s="21" t="s">
        <v>109</v>
      </c>
      <c r="B4" s="78">
        <f>Calculations!B4</f>
        <v>5657718.6400000006</v>
      </c>
      <c r="C4" s="14">
        <f>B4*(1+Assumptions!$B$7)</f>
        <v>5997181.7584000006</v>
      </c>
      <c r="D4" s="14">
        <f>C4*(1+Assumptions!$B$7)</f>
        <v>6357012.663904001</v>
      </c>
      <c r="E4" s="14">
        <f>D4*(1+Assumptions!$B$7)</f>
        <v>6738433.4237382412</v>
      </c>
      <c r="F4" s="14">
        <f>E4*(1+Assumptions!$B$7)</f>
        <v>7142739.4291625358</v>
      </c>
      <c r="G4" s="14">
        <f>F4*(1+Assumptions!$B$7)</f>
        <v>7571303.794912288</v>
      </c>
      <c r="H4" s="38">
        <f>IFERROR((G4/B4)^(1/5)-1,0)</f>
        <v>6.0000000000000053E-2</v>
      </c>
      <c r="I4" s="84" t="s">
        <v>110</v>
      </c>
    </row>
    <row r="5" spans="1:10" ht="15" customHeight="1" x14ac:dyDescent="0.3">
      <c r="A5" s="30" t="s">
        <v>111</v>
      </c>
      <c r="B5" s="77">
        <f t="shared" ref="B5:G5" si="0">B3-B4</f>
        <v>5589605.2800000031</v>
      </c>
      <c r="C5" s="9">
        <f t="shared" si="0"/>
        <v>6149928.0752000045</v>
      </c>
      <c r="D5" s="9">
        <f t="shared" si="0"/>
        <v>6761865.956384006</v>
      </c>
      <c r="E5" s="9">
        <f t="shared" si="0"/>
        <v>7429955.4861728065</v>
      </c>
      <c r="F5" s="9">
        <f t="shared" si="0"/>
        <v>8159120.5935413968</v>
      </c>
      <c r="G5" s="9">
        <f t="shared" si="0"/>
        <v>8954705.029607961</v>
      </c>
      <c r="H5" s="37">
        <f>IFERROR((G5/B5)^(1/5)-1,0)</f>
        <v>9.8838908476980292E-2</v>
      </c>
      <c r="I5" s="83" t="s">
        <v>112</v>
      </c>
    </row>
    <row r="6" spans="1:10" ht="15" customHeight="1" x14ac:dyDescent="0.3">
      <c r="A6" s="21" t="s">
        <v>113</v>
      </c>
      <c r="B6" s="79">
        <f t="shared" ref="B6:G6" si="1">B5/B3</f>
        <v>0.49697201927834239</v>
      </c>
      <c r="C6" s="15">
        <f t="shared" si="1"/>
        <v>0.50628735225466936</v>
      </c>
      <c r="D6" s="15">
        <f t="shared" si="1"/>
        <v>0.51543017906476818</v>
      </c>
      <c r="E6" s="15">
        <f t="shared" si="1"/>
        <v>0.5244036942672724</v>
      </c>
      <c r="F6" s="15">
        <f t="shared" si="1"/>
        <v>0.533211033262323</v>
      </c>
      <c r="G6" s="15">
        <f t="shared" si="1"/>
        <v>0.54185527338709483</v>
      </c>
      <c r="H6" s="39"/>
      <c r="I6" s="84" t="s">
        <v>114</v>
      </c>
    </row>
    <row r="7" spans="1:10" ht="15" customHeight="1" x14ac:dyDescent="0.3">
      <c r="A7" s="30" t="s">
        <v>115</v>
      </c>
      <c r="B7" s="77">
        <f t="shared" ref="B7:G7" si="2">B5</f>
        <v>5589605.2800000031</v>
      </c>
      <c r="C7" s="9">
        <f t="shared" si="2"/>
        <v>6149928.0752000045</v>
      </c>
      <c r="D7" s="9">
        <f t="shared" si="2"/>
        <v>6761865.956384006</v>
      </c>
      <c r="E7" s="9">
        <f t="shared" si="2"/>
        <v>7429955.4861728065</v>
      </c>
      <c r="F7" s="9">
        <f t="shared" si="2"/>
        <v>8159120.5935413968</v>
      </c>
      <c r="G7" s="9">
        <f t="shared" si="2"/>
        <v>8954705.029607961</v>
      </c>
      <c r="H7" s="37">
        <f>IFERROR((G7/B7)^(1/5)-1,0)</f>
        <v>9.8838908476980292E-2</v>
      </c>
      <c r="I7" s="83" t="s">
        <v>116</v>
      </c>
    </row>
    <row r="8" spans="1:10" ht="15" customHeight="1" x14ac:dyDescent="0.3">
      <c r="A8" s="21" t="s">
        <v>117</v>
      </c>
      <c r="B8" s="79">
        <f t="shared" ref="B8:G8" si="3">B7/B3</f>
        <v>0.49697201927834239</v>
      </c>
      <c r="C8" s="15">
        <f t="shared" si="3"/>
        <v>0.50628735225466936</v>
      </c>
      <c r="D8" s="15">
        <f t="shared" si="3"/>
        <v>0.51543017906476818</v>
      </c>
      <c r="E8" s="15">
        <f t="shared" si="3"/>
        <v>0.5244036942672724</v>
      </c>
      <c r="F8" s="15">
        <f t="shared" si="3"/>
        <v>0.533211033262323</v>
      </c>
      <c r="G8" s="15">
        <f t="shared" si="3"/>
        <v>0.54185527338709483</v>
      </c>
      <c r="H8" s="39"/>
      <c r="I8" s="84" t="s">
        <v>118</v>
      </c>
    </row>
    <row r="9" spans="1:10" ht="15" customHeight="1" x14ac:dyDescent="0.3">
      <c r="A9" s="30" t="s">
        <v>119</v>
      </c>
      <c r="B9" s="77">
        <f>B7*Assumptions!$B$12</f>
        <v>1117921.0560000006</v>
      </c>
      <c r="C9" s="9">
        <f>C7*Assumptions!$B$12</f>
        <v>1229985.615040001</v>
      </c>
      <c r="D9" s="9">
        <f>D7*Assumptions!$B$12</f>
        <v>1352373.1912768013</v>
      </c>
      <c r="E9" s="9">
        <f>E7*Assumptions!$B$12</f>
        <v>1485991.0972345613</v>
      </c>
      <c r="F9" s="9">
        <f>F7*Assumptions!$B$12</f>
        <v>1631824.1187082794</v>
      </c>
      <c r="G9" s="9">
        <f>G7*Assumptions!$B$12</f>
        <v>1790941.0059215922</v>
      </c>
      <c r="H9" s="37">
        <f>IFERROR((G9/B9)^(1/5)-1,0)</f>
        <v>9.8838908476980292E-2</v>
      </c>
      <c r="I9" s="83" t="s">
        <v>120</v>
      </c>
    </row>
    <row r="10" spans="1:10" ht="15" customHeight="1" x14ac:dyDescent="0.3">
      <c r="A10" s="21" t="s">
        <v>121</v>
      </c>
      <c r="B10" s="78">
        <f t="shared" ref="B10:G10" si="4">B7-B9</f>
        <v>4471684.2240000023</v>
      </c>
      <c r="C10" s="14">
        <f t="shared" si="4"/>
        <v>4919942.460160004</v>
      </c>
      <c r="D10" s="14">
        <f t="shared" si="4"/>
        <v>5409492.7651072051</v>
      </c>
      <c r="E10" s="14">
        <f t="shared" si="4"/>
        <v>5943964.3889382454</v>
      </c>
      <c r="F10" s="14">
        <f t="shared" si="4"/>
        <v>6527296.4748331178</v>
      </c>
      <c r="G10" s="14">
        <f t="shared" si="4"/>
        <v>7163764.0236863689</v>
      </c>
      <c r="H10" s="38">
        <f>IFERROR((G10/B10)^(1/5)-1,0)</f>
        <v>9.8838908476980292E-2</v>
      </c>
      <c r="I10" s="84" t="s">
        <v>122</v>
      </c>
    </row>
    <row r="11" spans="1:10" ht="15" customHeight="1" x14ac:dyDescent="0.3">
      <c r="A11" s="74" t="s">
        <v>123</v>
      </c>
      <c r="B11" s="74"/>
      <c r="C11" s="74"/>
      <c r="D11" s="74"/>
      <c r="E11" s="74"/>
      <c r="F11" s="74"/>
      <c r="G11" s="74"/>
      <c r="H11" s="74"/>
      <c r="I11" s="74"/>
    </row>
    <row r="12" spans="1:10" ht="15" customHeight="1" x14ac:dyDescent="0.3">
      <c r="A12" s="21" t="s">
        <v>124</v>
      </c>
      <c r="B12" s="78">
        <f>Assumptions!$B$9</f>
        <v>200000</v>
      </c>
      <c r="C12" s="14">
        <f>Assumptions!$B$9</f>
        <v>200000</v>
      </c>
      <c r="D12" s="14">
        <f>Assumptions!$B$9</f>
        <v>200000</v>
      </c>
      <c r="E12" s="14">
        <f>Assumptions!$B$9</f>
        <v>200000</v>
      </c>
      <c r="F12" s="14">
        <f>Assumptions!$B$9</f>
        <v>200000</v>
      </c>
      <c r="G12" s="14">
        <f>Assumptions!$B$9</f>
        <v>200000</v>
      </c>
      <c r="H12" s="38">
        <f>IFERROR((G12/B12)^(1/5)-1,0)</f>
        <v>0</v>
      </c>
      <c r="I12" s="83" t="s">
        <v>125</v>
      </c>
    </row>
    <row r="13" spans="1:10" ht="15" customHeight="1" x14ac:dyDescent="0.3">
      <c r="A13" s="30" t="s">
        <v>126</v>
      </c>
      <c r="B13" s="77">
        <f>B3*Assumptions!$B$10</f>
        <v>1349678.8704000004</v>
      </c>
      <c r="C13" s="9">
        <f>C3*Assumptions!$B$10</f>
        <v>1457653.1800320006</v>
      </c>
      <c r="D13" s="9">
        <f>D3*Assumptions!$B$10</f>
        <v>1574265.4344345608</v>
      </c>
      <c r="E13" s="9">
        <f>E3*Assumptions!$B$10</f>
        <v>1700206.6691893258</v>
      </c>
      <c r="F13" s="9">
        <f>F3*Assumptions!$B$10</f>
        <v>1836223.2027244719</v>
      </c>
      <c r="G13" s="9">
        <f>G3*Assumptions!$B$10</f>
        <v>1983121.0589424297</v>
      </c>
      <c r="H13" s="37">
        <f>IFERROR((G13/B13)^(1/5)-1,0)</f>
        <v>8.0000000000000071E-2</v>
      </c>
      <c r="I13" s="84" t="s">
        <v>77</v>
      </c>
    </row>
    <row r="14" spans="1:10" ht="15" customHeight="1" x14ac:dyDescent="0.3">
      <c r="A14" s="21" t="s">
        <v>127</v>
      </c>
      <c r="B14" s="80">
        <v>0</v>
      </c>
      <c r="C14" s="14">
        <f>C13-B13</f>
        <v>107974.30963200028</v>
      </c>
      <c r="D14" s="14">
        <f>D13-C13</f>
        <v>116612.25440256018</v>
      </c>
      <c r="E14" s="14">
        <f>E13-D13</f>
        <v>125941.23475476494</v>
      </c>
      <c r="F14" s="14">
        <f>F13-E13</f>
        <v>136016.53353514615</v>
      </c>
      <c r="G14" s="14">
        <f>G13-F13</f>
        <v>146897.8562179578</v>
      </c>
      <c r="H14" s="38">
        <f>IFERROR((G14/B14)^(1/5)-1,0)</f>
        <v>0</v>
      </c>
      <c r="I14" s="83" t="s">
        <v>128</v>
      </c>
    </row>
    <row r="15" spans="1:10" ht="15" customHeight="1" x14ac:dyDescent="0.3">
      <c r="A15" s="30" t="s">
        <v>129</v>
      </c>
      <c r="B15" s="77">
        <f>Assumptions!$B$8</f>
        <v>500000</v>
      </c>
      <c r="C15" s="9">
        <f>Assumptions!$B$8</f>
        <v>500000</v>
      </c>
      <c r="D15" s="9">
        <f>Assumptions!$B$8</f>
        <v>500000</v>
      </c>
      <c r="E15" s="9">
        <f>Assumptions!$B$8</f>
        <v>500000</v>
      </c>
      <c r="F15" s="9">
        <f>Assumptions!$B$8</f>
        <v>500000</v>
      </c>
      <c r="G15" s="9">
        <f>Assumptions!$B$8</f>
        <v>500000</v>
      </c>
      <c r="H15" s="37">
        <f>IFERROR((G15/B15)^(1/5)-1,0)</f>
        <v>0</v>
      </c>
      <c r="I15" s="84" t="s">
        <v>130</v>
      </c>
    </row>
    <row r="16" spans="1:10" ht="15" customHeight="1" x14ac:dyDescent="0.3">
      <c r="A16" s="21" t="s">
        <v>131</v>
      </c>
      <c r="B16" s="78">
        <f t="shared" ref="B16:G16" si="5">B10+B12-B14-B15</f>
        <v>4171684.2240000023</v>
      </c>
      <c r="C16" s="14">
        <f t="shared" si="5"/>
        <v>4511968.1505280035</v>
      </c>
      <c r="D16" s="14">
        <f t="shared" si="5"/>
        <v>4992880.510704645</v>
      </c>
      <c r="E16" s="14">
        <f t="shared" si="5"/>
        <v>5518023.1541834809</v>
      </c>
      <c r="F16" s="14">
        <f t="shared" si="5"/>
        <v>6091279.9412979716</v>
      </c>
      <c r="G16" s="14">
        <f t="shared" si="5"/>
        <v>6716866.1674684109</v>
      </c>
      <c r="H16" s="38">
        <f>IFERROR((G16/B16)^(1/5)-1,0)</f>
        <v>9.994521205805551E-2</v>
      </c>
      <c r="I16" s="83" t="s">
        <v>132</v>
      </c>
    </row>
  </sheetData>
  <mergeCells count="2">
    <mergeCell ref="A1:J1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2"/>
  <sheetViews>
    <sheetView showGridLines="0" zoomScaleNormal="100" workbookViewId="0">
      <selection activeCell="E30" sqref="E30"/>
    </sheetView>
  </sheetViews>
  <sheetFormatPr defaultColWidth="8.6640625" defaultRowHeight="14.4" x14ac:dyDescent="0.3"/>
  <cols>
    <col min="1" max="1" width="29.5546875" style="1" bestFit="1" customWidth="1"/>
    <col min="2" max="2" width="18" style="1" customWidth="1"/>
    <col min="3" max="3" width="20" style="1" customWidth="1"/>
    <col min="4" max="4" width="18" style="1" customWidth="1"/>
    <col min="5" max="5" width="22" style="1" customWidth="1"/>
    <col min="6" max="6" width="30" style="1" customWidth="1"/>
  </cols>
  <sheetData>
    <row r="1" spans="1:6" ht="15.75" customHeight="1" x14ac:dyDescent="0.3">
      <c r="A1" s="72" t="s">
        <v>133</v>
      </c>
      <c r="B1" s="72"/>
      <c r="C1" s="72"/>
      <c r="D1" s="72"/>
      <c r="E1" s="72"/>
      <c r="F1" s="72"/>
    </row>
    <row r="2" spans="1:6" ht="15" customHeight="1" x14ac:dyDescent="0.3">
      <c r="A2" s="5" t="s">
        <v>134</v>
      </c>
      <c r="B2" s="5" t="s">
        <v>131</v>
      </c>
      <c r="C2" s="5" t="s">
        <v>135</v>
      </c>
      <c r="D2" s="5" t="s">
        <v>136</v>
      </c>
      <c r="E2" s="5" t="s">
        <v>137</v>
      </c>
      <c r="F2" s="5" t="s">
        <v>57</v>
      </c>
    </row>
    <row r="3" spans="1:6" ht="15" customHeight="1" x14ac:dyDescent="0.3">
      <c r="A3" s="21" t="s">
        <v>101</v>
      </c>
      <c r="B3" s="27">
        <f>Financial_Model!C16</f>
        <v>4511968.1505280035</v>
      </c>
      <c r="C3" s="40">
        <f>1/(1+Assumptions!$B$14)^1</f>
        <v>0.89285714285714279</v>
      </c>
      <c r="D3" s="14">
        <f>B3*C3</f>
        <v>4028542.9915428599</v>
      </c>
      <c r="E3" s="41">
        <f>SUM(D3:D3)</f>
        <v>4028542.9915428599</v>
      </c>
      <c r="F3" s="85" t="s">
        <v>138</v>
      </c>
    </row>
    <row r="4" spans="1:6" ht="15" customHeight="1" x14ac:dyDescent="0.3">
      <c r="A4" s="30" t="s">
        <v>102</v>
      </c>
      <c r="B4" s="22">
        <f>Financial_Model!D16</f>
        <v>4992880.510704645</v>
      </c>
      <c r="C4" s="42">
        <f>1/(1+Assumptions!$B$14)^2</f>
        <v>0.79719387755102034</v>
      </c>
      <c r="D4" s="9">
        <f>B4*C4</f>
        <v>3980293.7744775545</v>
      </c>
      <c r="E4" s="43">
        <f>SUM(D3:D4)</f>
        <v>8008836.7660204144</v>
      </c>
      <c r="F4" s="86" t="s">
        <v>139</v>
      </c>
    </row>
    <row r="5" spans="1:6" ht="15" customHeight="1" x14ac:dyDescent="0.3">
      <c r="A5" s="21" t="s">
        <v>103</v>
      </c>
      <c r="B5" s="27">
        <f>Financial_Model!E16</f>
        <v>5518023.1541834809</v>
      </c>
      <c r="C5" s="40">
        <f>1/(1+Assumptions!$B$14)^3</f>
        <v>0.71178024781341087</v>
      </c>
      <c r="D5" s="14">
        <f>B5*C5</f>
        <v>3927619.8881248571</v>
      </c>
      <c r="E5" s="41">
        <f>SUM(D3:D5)</f>
        <v>11936456.654145271</v>
      </c>
      <c r="F5" s="85" t="s">
        <v>140</v>
      </c>
    </row>
    <row r="6" spans="1:6" ht="15" customHeight="1" x14ac:dyDescent="0.3">
      <c r="A6" s="30" t="s">
        <v>104</v>
      </c>
      <c r="B6" s="22">
        <f>Financial_Model!F16</f>
        <v>6091279.9412979716</v>
      </c>
      <c r="C6" s="42">
        <f>1/(1+Assumptions!$B$14)^4</f>
        <v>0.63551807840483121</v>
      </c>
      <c r="D6" s="9">
        <f>B6*C6</f>
        <v>3871118.5233195801</v>
      </c>
      <c r="E6" s="43">
        <f>SUM(D3:D6)</f>
        <v>15807575.17746485</v>
      </c>
      <c r="F6" s="86" t="s">
        <v>141</v>
      </c>
    </row>
    <row r="7" spans="1:6" ht="15" customHeight="1" x14ac:dyDescent="0.3">
      <c r="A7" s="21" t="s">
        <v>105</v>
      </c>
      <c r="B7" s="27">
        <f>Financial_Model!G16</f>
        <v>6716866.1674684109</v>
      </c>
      <c r="C7" s="40">
        <f>1/(1+Assumptions!$B$14)^5</f>
        <v>0.56742685571859919</v>
      </c>
      <c r="D7" s="14">
        <f>B7*C7</f>
        <v>3811330.2496892381</v>
      </c>
      <c r="E7" s="41">
        <f>SUM(D3:D7)</f>
        <v>19618905.427154087</v>
      </c>
      <c r="F7" s="85" t="s">
        <v>142</v>
      </c>
    </row>
    <row r="8" spans="1:6" ht="15" customHeight="1" x14ac:dyDescent="0.3">
      <c r="A8" s="20" t="s">
        <v>143</v>
      </c>
      <c r="B8" s="73"/>
      <c r="C8" s="73"/>
      <c r="D8" s="73"/>
      <c r="E8" s="73"/>
      <c r="F8" s="73"/>
    </row>
    <row r="9" spans="1:6" ht="15" customHeight="1" x14ac:dyDescent="0.3">
      <c r="A9" s="21" t="s">
        <v>144</v>
      </c>
      <c r="B9" s="22">
        <f>Financial_Model!G16</f>
        <v>6716866.1674684109</v>
      </c>
    </row>
    <row r="10" spans="1:6" ht="15" customHeight="1" x14ac:dyDescent="0.3">
      <c r="A10" s="21" t="s">
        <v>145</v>
      </c>
      <c r="B10" s="9">
        <f>B9*(1+Assumptions!$B$15)/(Assumptions!$B$14-Assumptions!$B$15)</f>
        <v>87319260.177089363</v>
      </c>
    </row>
    <row r="11" spans="1:6" ht="15" customHeight="1" x14ac:dyDescent="0.3">
      <c r="A11" s="21" t="s">
        <v>146</v>
      </c>
      <c r="B11" s="9">
        <f>B10/(1+Assumptions!$B$14)^5</f>
        <v>49547293.245960116</v>
      </c>
    </row>
    <row r="13" spans="1:6" ht="15" customHeight="1" x14ac:dyDescent="0.3">
      <c r="A13" s="20" t="s">
        <v>147</v>
      </c>
      <c r="B13" s="73"/>
      <c r="C13" s="73"/>
      <c r="D13" s="73"/>
      <c r="E13" s="73"/>
      <c r="F13" s="73"/>
    </row>
    <row r="14" spans="1:6" ht="15" customHeight="1" x14ac:dyDescent="0.3">
      <c r="A14" s="33" t="s">
        <v>148</v>
      </c>
      <c r="B14" s="9">
        <f>SUM(D3:D7)</f>
        <v>19618905.427154087</v>
      </c>
    </row>
    <row r="15" spans="1:6" ht="15" customHeight="1" x14ac:dyDescent="0.3">
      <c r="A15" s="34" t="s">
        <v>149</v>
      </c>
      <c r="B15" s="14">
        <f>B11</f>
        <v>49547293.245960116</v>
      </c>
    </row>
    <row r="16" spans="1:6" ht="15" customHeight="1" x14ac:dyDescent="0.3">
      <c r="A16" s="44" t="s">
        <v>150</v>
      </c>
      <c r="B16" s="45">
        <f>B14+B15</f>
        <v>69166198.67311421</v>
      </c>
    </row>
    <row r="17" spans="1:2" ht="15" customHeight="1" x14ac:dyDescent="0.3">
      <c r="A17" s="34" t="s">
        <v>151</v>
      </c>
      <c r="B17" s="46">
        <f>B16/Financial_Model!B7</f>
        <v>12.37407566516292</v>
      </c>
    </row>
    <row r="18" spans="1:2" ht="15" customHeight="1" x14ac:dyDescent="0.3">
      <c r="A18" s="33" t="s">
        <v>152</v>
      </c>
      <c r="B18" s="47">
        <f>B16/Financial_Model!B3</f>
        <v>6.1495693700190142</v>
      </c>
    </row>
    <row r="19" spans="1:2" ht="15" customHeight="1" x14ac:dyDescent="0.3">
      <c r="A19" s="34" t="s">
        <v>153</v>
      </c>
      <c r="B19" s="28">
        <f>B15/B16</f>
        <v>0.71635125533102029</v>
      </c>
    </row>
    <row r="22" spans="1:2" x14ac:dyDescent="0.3">
      <c r="B22" s="43">
        <f>B11</f>
        <v>49547293.245960116</v>
      </c>
    </row>
  </sheetData>
  <mergeCells count="3">
    <mergeCell ref="A1:F1"/>
    <mergeCell ref="B8:F8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G16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20" style="1" customWidth="1"/>
    <col min="2" max="3" width="16" style="1" customWidth="1"/>
    <col min="4" max="4" width="18" style="1" customWidth="1"/>
    <col min="5" max="6" width="16" style="1" customWidth="1"/>
    <col min="7" max="7" width="18" style="1" customWidth="1"/>
  </cols>
  <sheetData>
    <row r="1" spans="1:7" ht="15.75" customHeight="1" x14ac:dyDescent="0.3">
      <c r="A1" s="72" t="s">
        <v>154</v>
      </c>
      <c r="B1" s="72"/>
      <c r="C1" s="72"/>
      <c r="D1" s="72"/>
      <c r="E1" s="72"/>
      <c r="F1" s="72"/>
      <c r="G1" s="72"/>
    </row>
    <row r="2" spans="1:7" ht="15" customHeight="1" x14ac:dyDescent="0.3">
      <c r="A2" s="26" t="s">
        <v>155</v>
      </c>
      <c r="B2" s="26" t="s">
        <v>12</v>
      </c>
      <c r="C2" s="26" t="s">
        <v>115</v>
      </c>
      <c r="D2" s="26" t="s">
        <v>117</v>
      </c>
      <c r="E2" s="26" t="s">
        <v>156</v>
      </c>
      <c r="F2" s="26" t="s">
        <v>157</v>
      </c>
      <c r="G2" s="26" t="s">
        <v>158</v>
      </c>
    </row>
    <row r="3" spans="1:7" ht="15" customHeight="1" x14ac:dyDescent="0.3">
      <c r="A3" s="21" t="s">
        <v>159</v>
      </c>
      <c r="B3" s="13">
        <v>45000000</v>
      </c>
      <c r="C3" s="13">
        <v>18000000</v>
      </c>
      <c r="D3" s="15">
        <f>IFERROR(C3/B3,0)</f>
        <v>0.4</v>
      </c>
      <c r="E3" s="48">
        <v>15</v>
      </c>
      <c r="F3" s="48">
        <v>14.5</v>
      </c>
      <c r="G3" s="14">
        <f>C3*E3</f>
        <v>270000000</v>
      </c>
    </row>
    <row r="4" spans="1:7" ht="15" customHeight="1" x14ac:dyDescent="0.3">
      <c r="A4" s="30" t="s">
        <v>160</v>
      </c>
      <c r="B4" s="8">
        <v>32000000</v>
      </c>
      <c r="C4" s="8">
        <v>11200000</v>
      </c>
      <c r="D4" s="10">
        <f>IFERROR(C4/B4,0)</f>
        <v>0.35</v>
      </c>
      <c r="E4" s="49">
        <v>16</v>
      </c>
      <c r="F4" s="49">
        <v>12.8</v>
      </c>
      <c r="G4" s="9">
        <f>C4*E4</f>
        <v>179200000</v>
      </c>
    </row>
    <row r="5" spans="1:7" ht="15" customHeight="1" x14ac:dyDescent="0.3">
      <c r="A5" s="21" t="s">
        <v>161</v>
      </c>
      <c r="B5" s="13">
        <v>28000000</v>
      </c>
      <c r="C5" s="13">
        <v>8960000</v>
      </c>
      <c r="D5" s="15">
        <f>IFERROR(C5/B5,0)</f>
        <v>0.32</v>
      </c>
      <c r="E5" s="48">
        <v>13.5</v>
      </c>
      <c r="F5" s="48">
        <v>11.2</v>
      </c>
      <c r="G5" s="14">
        <f>C5*E5</f>
        <v>120960000</v>
      </c>
    </row>
    <row r="6" spans="1:7" ht="15" customHeight="1" x14ac:dyDescent="0.3">
      <c r="A6" s="30" t="s">
        <v>162</v>
      </c>
      <c r="B6" s="8">
        <v>38000000</v>
      </c>
      <c r="C6" s="8">
        <v>13300000</v>
      </c>
      <c r="D6" s="10">
        <f>IFERROR(C6/B6,0)</f>
        <v>0.35</v>
      </c>
      <c r="E6" s="49">
        <v>12</v>
      </c>
      <c r="F6" s="49">
        <v>9.5</v>
      </c>
      <c r="G6" s="9">
        <f>C6*E6</f>
        <v>159600000</v>
      </c>
    </row>
    <row r="7" spans="1:7" ht="15" customHeight="1" x14ac:dyDescent="0.3">
      <c r="A7" s="21" t="s">
        <v>163</v>
      </c>
      <c r="B7" s="13">
        <v>22000000</v>
      </c>
      <c r="C7" s="13">
        <v>7040000</v>
      </c>
      <c r="D7" s="15">
        <f>IFERROR(C7/B7,0)</f>
        <v>0.32</v>
      </c>
      <c r="E7" s="48">
        <v>11</v>
      </c>
      <c r="F7" s="48">
        <v>8.8000000000000007</v>
      </c>
      <c r="G7" s="14">
        <f>C7*E7</f>
        <v>77440000</v>
      </c>
    </row>
    <row r="8" spans="1:7" ht="15" customHeight="1" x14ac:dyDescent="0.3">
      <c r="A8" s="21" t="s">
        <v>164</v>
      </c>
      <c r="B8" s="14">
        <f t="shared" ref="B8:G8" si="0">AVERAGE(B3:B7)</f>
        <v>33000000</v>
      </c>
      <c r="C8" s="14">
        <f t="shared" si="0"/>
        <v>11700000</v>
      </c>
      <c r="D8" s="15">
        <f t="shared" si="0"/>
        <v>0.34799999999999998</v>
      </c>
      <c r="E8" s="50">
        <f t="shared" si="0"/>
        <v>13.5</v>
      </c>
      <c r="F8" s="50">
        <f t="shared" si="0"/>
        <v>11.36</v>
      </c>
      <c r="G8" s="14">
        <f t="shared" si="0"/>
        <v>161440000</v>
      </c>
    </row>
    <row r="9" spans="1:7" ht="15" customHeight="1" x14ac:dyDescent="0.3">
      <c r="A9" s="21" t="s">
        <v>165</v>
      </c>
      <c r="B9" s="14">
        <f t="shared" ref="B9:G9" si="1">MEDIAN(B3:B8)</f>
        <v>32500000</v>
      </c>
      <c r="C9" s="14">
        <f t="shared" si="1"/>
        <v>11450000</v>
      </c>
      <c r="D9" s="15">
        <f t="shared" si="1"/>
        <v>0.34899999999999998</v>
      </c>
      <c r="E9" s="50">
        <f t="shared" si="1"/>
        <v>13.5</v>
      </c>
      <c r="F9" s="50">
        <f t="shared" si="1"/>
        <v>11.28</v>
      </c>
      <c r="G9" s="14">
        <f t="shared" si="1"/>
        <v>160520000</v>
      </c>
    </row>
    <row r="10" spans="1:7" ht="15" customHeight="1" x14ac:dyDescent="0.3">
      <c r="A10" s="30" t="s">
        <v>166</v>
      </c>
      <c r="B10" s="9">
        <f t="shared" ref="B10:G10" si="2">MIN(B3:B9)</f>
        <v>22000000</v>
      </c>
      <c r="C10" s="9">
        <f t="shared" si="2"/>
        <v>7040000</v>
      </c>
      <c r="D10" s="10">
        <f t="shared" si="2"/>
        <v>0.32</v>
      </c>
      <c r="E10" s="51">
        <f t="shared" si="2"/>
        <v>11</v>
      </c>
      <c r="F10" s="51">
        <f t="shared" si="2"/>
        <v>8.8000000000000007</v>
      </c>
      <c r="G10" s="9">
        <f t="shared" si="2"/>
        <v>77440000</v>
      </c>
    </row>
    <row r="11" spans="1:7" ht="15" customHeight="1" x14ac:dyDescent="0.3">
      <c r="A11" s="30" t="s">
        <v>167</v>
      </c>
      <c r="B11" s="9">
        <f t="shared" ref="B11:G11" si="3">MAX(B3:B10)</f>
        <v>45000000</v>
      </c>
      <c r="C11" s="9">
        <f t="shared" si="3"/>
        <v>18000000</v>
      </c>
      <c r="D11" s="10">
        <f t="shared" si="3"/>
        <v>0.4</v>
      </c>
      <c r="E11" s="51">
        <f t="shared" si="3"/>
        <v>16</v>
      </c>
      <c r="F11" s="51">
        <f t="shared" si="3"/>
        <v>14.5</v>
      </c>
      <c r="G11" s="9">
        <f t="shared" si="3"/>
        <v>270000000</v>
      </c>
    </row>
    <row r="13" spans="1:7" ht="15" customHeight="1" x14ac:dyDescent="0.3">
      <c r="A13" s="20" t="s">
        <v>168</v>
      </c>
      <c r="B13" s="73"/>
      <c r="C13" s="73"/>
      <c r="D13" s="73"/>
      <c r="E13" s="73"/>
      <c r="F13" s="73"/>
      <c r="G13" s="73"/>
    </row>
    <row r="14" spans="1:7" ht="15" customHeight="1" x14ac:dyDescent="0.3">
      <c r="A14" s="21" t="s">
        <v>169</v>
      </c>
      <c r="B14" s="22">
        <f>Financial_Model!B7</f>
        <v>5589605.2800000031</v>
      </c>
    </row>
    <row r="15" spans="1:7" ht="15" customHeight="1" x14ac:dyDescent="0.3">
      <c r="A15" s="21" t="s">
        <v>170</v>
      </c>
      <c r="B15" s="52">
        <f>B14*MEDIAN(E3:E8)</f>
        <v>75459671.280000046</v>
      </c>
    </row>
    <row r="16" spans="1:7" ht="15" customHeight="1" x14ac:dyDescent="0.3">
      <c r="A16" s="21" t="s">
        <v>171</v>
      </c>
      <c r="B16" s="52">
        <f>Financial_Model!B3*MEDIAN(F3:F8)</f>
        <v>126869813.81760003</v>
      </c>
    </row>
  </sheetData>
  <mergeCells count="2">
    <mergeCell ref="A1:G1"/>
    <mergeCell ref="B13:G13"/>
  </mergeCells>
  <conditionalFormatting sqref="E3:E8">
    <cfRule type="colorScale" priority="2">
      <colorScale>
        <cfvo type="min"/>
        <cfvo type="max"/>
        <color rgb="FFC0392B"/>
        <color rgb="FF1E8449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H23"/>
  <sheetViews>
    <sheetView showGridLines="0" zoomScaleNormal="100" workbookViewId="0">
      <selection activeCell="E21" sqref="E21"/>
    </sheetView>
  </sheetViews>
  <sheetFormatPr defaultColWidth="8.6640625" defaultRowHeight="14.4" x14ac:dyDescent="0.3"/>
  <cols>
    <col min="1" max="1" width="54" style="1" bestFit="1" customWidth="1"/>
    <col min="2" max="3" width="15" style="1" customWidth="1"/>
    <col min="4" max="4" width="12.109375" style="1" bestFit="1" customWidth="1"/>
    <col min="5" max="5" width="17.6640625" style="1" bestFit="1" customWidth="1"/>
    <col min="6" max="8" width="15" style="1" customWidth="1"/>
  </cols>
  <sheetData>
    <row r="1" spans="1:8" ht="15.75" customHeight="1" x14ac:dyDescent="0.3">
      <c r="A1" s="72" t="s">
        <v>172</v>
      </c>
      <c r="B1" s="72"/>
      <c r="C1" s="72"/>
      <c r="D1" s="72"/>
      <c r="E1" s="72"/>
      <c r="F1" s="72"/>
      <c r="G1" s="72"/>
      <c r="H1" s="72"/>
    </row>
    <row r="2" spans="1:8" ht="15" customHeight="1" x14ac:dyDescent="0.3">
      <c r="A2" s="20" t="s">
        <v>173</v>
      </c>
      <c r="B2" s="73"/>
      <c r="C2" s="73"/>
      <c r="D2" s="73"/>
      <c r="E2" s="73"/>
      <c r="F2" s="73"/>
      <c r="G2" s="73"/>
      <c r="H2" s="73"/>
    </row>
    <row r="3" spans="1:8" ht="15" customHeight="1" x14ac:dyDescent="0.3">
      <c r="A3" s="5" t="s">
        <v>174</v>
      </c>
      <c r="B3" s="53">
        <v>0.04</v>
      </c>
      <c r="C3" s="53">
        <v>0.06</v>
      </c>
      <c r="D3" s="53">
        <v>0.08</v>
      </c>
      <c r="E3" s="53">
        <v>0.1</v>
      </c>
      <c r="F3" s="53">
        <v>0.12</v>
      </c>
      <c r="G3" s="53">
        <v>0.15</v>
      </c>
      <c r="H3" s="53">
        <v>0.2</v>
      </c>
    </row>
    <row r="4" spans="1:8" ht="15" customHeight="1" x14ac:dyDescent="0.3">
      <c r="A4" s="21" t="s">
        <v>101</v>
      </c>
      <c r="B4" s="9">
        <f>Financial_Model!$B$3*(1+0.04)^1</f>
        <v>11697216.876800004</v>
      </c>
      <c r="C4" s="9">
        <f>Financial_Model!$B$3*(1+0.06)^1</f>
        <v>11922163.355200004</v>
      </c>
      <c r="D4" s="9">
        <f>Financial_Model!$B$3*(1+0.08)^1</f>
        <v>12147109.833600005</v>
      </c>
      <c r="E4" s="9">
        <f>Financial_Model!$B$3*(1+0.1)^1</f>
        <v>12372056.312000005</v>
      </c>
      <c r="F4" s="9">
        <f>Financial_Model!$B$3*(1+0.12)^1</f>
        <v>12597002.790400006</v>
      </c>
      <c r="G4" s="9">
        <f>Financial_Model!$B$3*(1+0.15)^1</f>
        <v>12934422.508000003</v>
      </c>
      <c r="H4" s="9">
        <f>Financial_Model!$B$3*(1+0.2)^1</f>
        <v>13496788.704000004</v>
      </c>
    </row>
    <row r="5" spans="1:8" ht="15" customHeight="1" x14ac:dyDescent="0.3">
      <c r="A5" s="21" t="s">
        <v>102</v>
      </c>
      <c r="B5" s="14">
        <f>Financial_Model!$B$3*(1+0.04)^2</f>
        <v>12165105.551872006</v>
      </c>
      <c r="C5" s="14">
        <f>Financial_Model!$B$3*(1+0.06)^2</f>
        <v>12637493.156512005</v>
      </c>
      <c r="D5" s="14">
        <f>Financial_Model!$B$3*(1+0.08)^2</f>
        <v>13118878.620288005</v>
      </c>
      <c r="E5" s="14">
        <f>Financial_Model!$B$3*(1+0.1)^2</f>
        <v>13609261.943200007</v>
      </c>
      <c r="F5" s="14">
        <f>Financial_Model!$B$3*(1+0.12)^2</f>
        <v>14108643.125248007</v>
      </c>
      <c r="G5" s="14">
        <f>Financial_Model!$B$3*(1+0.15)^2</f>
        <v>14874585.884200003</v>
      </c>
      <c r="H5" s="14">
        <f>Financial_Model!$B$3*(1+0.2)^2</f>
        <v>16196146.444800004</v>
      </c>
    </row>
    <row r="6" spans="1:8" ht="15" customHeight="1" x14ac:dyDescent="0.3">
      <c r="A6" s="21" t="s">
        <v>103</v>
      </c>
      <c r="B6" s="9">
        <f>Financial_Model!$B$3*(1+0.04)^3</f>
        <v>12651709.773946885</v>
      </c>
      <c r="C6" s="9">
        <f>Financial_Model!$B$3*(1+0.06)^3</f>
        <v>13395742.745902728</v>
      </c>
      <c r="D6" s="9">
        <f>Financial_Model!$B$3*(1+0.08)^3</f>
        <v>14168388.909911046</v>
      </c>
      <c r="E6" s="9">
        <f>Financial_Model!$B$3*(1+0.1)^3</f>
        <v>14970188.13752001</v>
      </c>
      <c r="F6" s="9">
        <f>Financial_Model!$B$3*(1+0.12)^3</f>
        <v>15801680.30027777</v>
      </c>
      <c r="G6" s="9">
        <f>Financial_Model!$B$3*(1+0.15)^3</f>
        <v>17105773.766830001</v>
      </c>
      <c r="H6" s="9">
        <f>Financial_Model!$B$3*(1+0.2)^3</f>
        <v>19435375.733760007</v>
      </c>
    </row>
    <row r="7" spans="1:8" ht="15" customHeight="1" x14ac:dyDescent="0.3">
      <c r="A7" s="21" t="s">
        <v>104</v>
      </c>
      <c r="B7" s="14">
        <f>Financial_Model!$B$3*(1+0.04)^4</f>
        <v>13157778.164904762</v>
      </c>
      <c r="C7" s="14">
        <f>Financial_Model!$B$3*(1+0.06)^4</f>
        <v>14199487.310656892</v>
      </c>
      <c r="D7" s="14">
        <f>Financial_Model!$B$3*(1+0.08)^4</f>
        <v>15301860.022703931</v>
      </c>
      <c r="E7" s="14">
        <f>Financial_Model!$B$3*(1+0.1)^4</f>
        <v>16467206.951272009</v>
      </c>
      <c r="F7" s="14">
        <f>Financial_Model!$B$3*(1+0.12)^4</f>
        <v>17697881.9363111</v>
      </c>
      <c r="G7" s="14">
        <f>Financial_Model!$B$3*(1+0.15)^4</f>
        <v>19671639.8318545</v>
      </c>
      <c r="H7" s="14">
        <f>Financial_Model!$B$3*(1+0.2)^4</f>
        <v>23322450.880512007</v>
      </c>
    </row>
    <row r="8" spans="1:8" ht="15" customHeight="1" x14ac:dyDescent="0.3">
      <c r="A8" s="21" t="s">
        <v>105</v>
      </c>
      <c r="B8" s="9">
        <f>Financial_Model!$B$3*(1+0.04)^5</f>
        <v>13684089.291500954</v>
      </c>
      <c r="C8" s="9">
        <f>Financial_Model!$B$3*(1+0.06)^5</f>
        <v>15051456.549296306</v>
      </c>
      <c r="D8" s="9">
        <f>Financial_Model!$B$3*(1+0.08)^5</f>
        <v>16526008.824520245</v>
      </c>
      <c r="E8" s="9">
        <f>Financial_Model!$B$3*(1+0.1)^5</f>
        <v>18113927.646399211</v>
      </c>
      <c r="F8" s="9">
        <f>Financial_Model!$B$3*(1+0.12)^5</f>
        <v>19821627.768668436</v>
      </c>
      <c r="G8" s="9">
        <f>Financial_Model!$B$3*(1+0.15)^5</f>
        <v>22622385.806632675</v>
      </c>
      <c r="H8" s="9">
        <f>Financial_Model!$B$3*(1+0.2)^5</f>
        <v>27986941.056614406</v>
      </c>
    </row>
    <row r="10" spans="1:8" ht="15" customHeight="1" x14ac:dyDescent="0.3">
      <c r="A10" s="20" t="s">
        <v>175</v>
      </c>
      <c r="B10" s="73"/>
      <c r="C10" s="73"/>
      <c r="D10" s="73"/>
      <c r="E10" s="73"/>
      <c r="F10" s="73"/>
      <c r="G10" s="73"/>
      <c r="H10" s="73"/>
    </row>
    <row r="11" spans="1:8" ht="15" customHeight="1" x14ac:dyDescent="0.3">
      <c r="A11" s="5" t="s">
        <v>176</v>
      </c>
      <c r="B11" s="53">
        <v>0.09</v>
      </c>
      <c r="C11" s="53">
        <v>0.1</v>
      </c>
      <c r="D11" s="53">
        <v>0.11</v>
      </c>
      <c r="E11" s="53">
        <v>0.12</v>
      </c>
      <c r="F11" s="53">
        <v>0.13</v>
      </c>
      <c r="G11" s="53">
        <v>0.14000000000000001</v>
      </c>
      <c r="H11" s="53">
        <v>0.15</v>
      </c>
    </row>
    <row r="12" spans="1:8" ht="15" customHeight="1" x14ac:dyDescent="0.3">
      <c r="A12" s="54">
        <v>0.02</v>
      </c>
      <c r="B12" s="9">
        <f>SUM(Financial_Model!C16/(1+0.09)^1,Financial_Model!D16/(1+0.09)^2,Financial_Model!E16/(1+0.09)^3,Financial_Model!F16/(1+0.09)^4,Financial_Model!G16/(1+0.09)^5)+(Financial_Model!G16*(1+0.02)/(0.09-0.02))/(1+0.09)^5</f>
        <v>84895075.304906189</v>
      </c>
      <c r="C12" s="9">
        <f>SUM(Financial_Model!C16/(1+0.1)^1,Financial_Model!D16/(1+0.1)^2,Financial_Model!E16/(1+0.1)^3,Financial_Model!F16/(1+0.1)^4,Financial_Model!G16/(1+0.1)^5)+(Financial_Model!G16*(1+0.02)/(0.1-0.02))/(1+0.1)^5</f>
        <v>73880710.013359949</v>
      </c>
      <c r="D12" s="9">
        <f>SUM(Financial_Model!C16/(1+0.11)^1,Financial_Model!D16/(1+0.11)^2,Financial_Model!E16/(1+0.11)^3,Financial_Model!F16/(1+0.11)^4,Financial_Model!G16/(1+0.11)^5)+(Financial_Model!G16*(1+0.02)/(0.11-0.02))/(1+0.11)^5</f>
        <v>65326724.561188266</v>
      </c>
      <c r="E12" s="9">
        <f>SUM(Financial_Model!C16/(1+0.12)^1,Financial_Model!D16/(1+0.12)^2,Financial_Model!E16/(1+0.12)^3,Financial_Model!F16/(1+0.12)^4,Financial_Model!G16/(1+0.12)^5)+(Financial_Model!G16*(1+0.02)/(0.12-0.02))/(1+0.12)^5</f>
        <v>58494473.973984331</v>
      </c>
      <c r="F12" s="9">
        <f>SUM(Financial_Model!C16/(1+0.13)^1,Financial_Model!D16/(1+0.13)^2,Financial_Model!E16/(1+0.13)^3,Financial_Model!F16/(1+0.13)^4,Financial_Model!G16/(1+0.13)^5)+(Financial_Model!G16*(1+0.02)/(0.13-0.02))/(1+0.13)^5</f>
        <v>52913938.449083395</v>
      </c>
      <c r="G12" s="9">
        <f>SUM(Financial_Model!C16/(1+0.14)^1,Financial_Model!D16/(1+0.14)^2,Financial_Model!E16/(1+0.14)^3,Financial_Model!F16/(1+0.14)^4,Financial_Model!G16/(1+0.14)^5)+(Financial_Model!G16*(1+0.02)/(0.14-0.02))/(1+0.14)^5</f>
        <v>48271794.593004577</v>
      </c>
      <c r="H12" s="9">
        <f>SUM(Financial_Model!C16/(1+0.15)^1,Financial_Model!D16/(1+0.15)^2,Financial_Model!E16/(1+0.15)^3,Financial_Model!F16/(1+0.15)^4,Financial_Model!G16/(1+0.15)^5)+(Financial_Model!G16*(1+0.02)/(0.15-0.02))/(1+0.15)^5</f>
        <v>44351146.196972549</v>
      </c>
    </row>
    <row r="13" spans="1:8" ht="15" customHeight="1" x14ac:dyDescent="0.3">
      <c r="A13" s="54">
        <v>0.03</v>
      </c>
      <c r="B13" s="14">
        <f>SUM(Financial_Model!C16/(1+0.09)^1,Financial_Model!D16/(1+0.09)^2,Financial_Model!E16/(1+0.09)^3,Financial_Model!F16/(1+0.09)^4,Financial_Model!G16/(1+0.09)^5)+(Financial_Model!G16*(1+0.03)/(0.09-0.03))/(1+0.09)^5</f>
        <v>96224592.762966856</v>
      </c>
      <c r="C13" s="14">
        <f>SUM(Financial_Model!C16/(1+0.1)^1,Financial_Model!D16/(1+0.1)^2,Financial_Model!E16/(1+0.1)^3,Financial_Model!F16/(1+0.1)^4,Financial_Model!G16/(1+0.1)^5)+(Financial_Model!G16*(1+0.03)/(0.1-0.03))/(1+0.1)^5</f>
        <v>82073049.245980188</v>
      </c>
      <c r="D13" s="14">
        <f>SUM(Financial_Model!C16/(1+0.11)^1,Financial_Model!D16/(1+0.11)^2,Financial_Model!E16/(1+0.11)^3,Financial_Model!F16/(1+0.11)^4,Financial_Model!G16/(1+0.11)^5)+(Financial_Model!G16*(1+0.03)/(0.11-0.03))/(1+0.11)^5</f>
        <v>71472013.163546681</v>
      </c>
      <c r="E13" s="14">
        <f>SUM(Financial_Model!C16/(1+0.12)^1,Financial_Model!D16/(1+0.12)^2,Financial_Model!E16/(1+0.12)^3,Financial_Model!F16/(1+0.12)^4,Financial_Model!G16/(1+0.12)^5)+(Financial_Model!G16*(1+0.03)/(0.12-0.03))/(1+0.12)^5</f>
        <v>63237462.729153156</v>
      </c>
      <c r="F13" s="14">
        <f>SUM(Financial_Model!C16/(1+0.13)^1,Financial_Model!D16/(1+0.13)^2,Financial_Model!E16/(1+0.13)^3,Financial_Model!F16/(1+0.13)^4,Financial_Model!G16/(1+0.13)^5)+(Financial_Model!G16*(1+0.03)/(0.13-0.03))/(1+0.13)^5</f>
        <v>56659011.005287372</v>
      </c>
      <c r="G13" s="14">
        <f>SUM(Financial_Model!C16/(1+0.14)^1,Financial_Model!D16/(1+0.14)^2,Financial_Model!E16/(1+0.14)^3,Financial_Model!F16/(1+0.14)^4,Financial_Model!G16/(1+0.14)^5)+(Financial_Model!G16*(1+0.03)/(0.14-0.03))/(1+0.14)^5</f>
        <v>51284615.792620584</v>
      </c>
      <c r="H13" s="14">
        <f>SUM(Financial_Model!C16/(1+0.15)^1,Financial_Model!D16/(1+0.15)^2,Financial_Model!E16/(1+0.15)^3,Financial_Model!F16/(1+0.15)^4,Financial_Model!G16/(1+0.15)^5)+(Financial_Model!G16*(1+0.03)/(0.15-0.03))/(1+0.15)^5</f>
        <v>46812934.678680308</v>
      </c>
    </row>
    <row r="14" spans="1:8" ht="15" customHeight="1" x14ac:dyDescent="0.3">
      <c r="A14" s="54">
        <v>0.04</v>
      </c>
      <c r="B14" s="9">
        <f>SUM(Financial_Model!C16/(1+0.09)^1,Financial_Model!D16/(1+0.09)^2,Financial_Model!E16/(1+0.09)^3,Financial_Model!F16/(1+0.09)^4,Financial_Model!G16/(1+0.09)^5)+(Financial_Model!G16*(1+0.04)/(0.09-0.04))/(1+0.09)^5</f>
        <v>112085917.20425181</v>
      </c>
      <c r="C14" s="9">
        <f>SUM(Financial_Model!C16/(1+0.1)^1,Financial_Model!D16/(1+0.1)^2,Financial_Model!E16/(1+0.1)^3,Financial_Model!F16/(1+0.1)^4,Financial_Model!G16/(1+0.1)^5)+(Financial_Model!G16*(1+0.04)/(0.1-0.04))/(1+0.1)^5</f>
        <v>92996168.222807184</v>
      </c>
      <c r="D14" s="9">
        <f>SUM(Financial_Model!C16/(1+0.11)^1,Financial_Model!D16/(1+0.11)^2,Financial_Model!E16/(1+0.11)^3,Financial_Model!F16/(1+0.11)^4,Financial_Model!G16/(1+0.11)^5)+(Financial_Model!G16*(1+0.04)/(0.11-0.04))/(1+0.11)^5</f>
        <v>79373098.509436071</v>
      </c>
      <c r="E14" s="9">
        <f>SUM(Financial_Model!C16/(1+0.12)^1,Financial_Model!D16/(1+0.12)^2,Financial_Model!E16/(1+0.12)^3,Financial_Model!F16/(1+0.12)^4,Financial_Model!G16/(1+0.12)^5)+(Financial_Model!G16*(1+0.04)/(0.12-0.04))/(1+0.12)^5</f>
        <v>69166198.67311421</v>
      </c>
      <c r="F14" s="9">
        <f>SUM(Financial_Model!C16/(1+0.13)^1,Financial_Model!D16/(1+0.13)^2,Financial_Model!E16/(1+0.13)^3,Financial_Model!F16/(1+0.13)^4,Financial_Model!G16/(1+0.13)^5)+(Financial_Model!G16*(1+0.04)/(0.13-0.04))/(1+0.13)^5</f>
        <v>61236321.907314457</v>
      </c>
      <c r="G14" s="9">
        <f>SUM(Financial_Model!C16/(1+0.14)^1,Financial_Model!D16/(1+0.14)^2,Financial_Model!E16/(1+0.14)^3,Financial_Model!F16/(1+0.14)^4,Financial_Model!G16/(1+0.14)^5)+(Financial_Model!G16*(1+0.04)/(0.14-0.04))/(1+0.14)^5</f>
        <v>54900001.232159808</v>
      </c>
      <c r="H14" s="9">
        <f>SUM(Financial_Model!C16/(1+0.15)^1,Financial_Model!D16/(1+0.15)^2,Financial_Model!E16/(1+0.15)^3,Financial_Model!F16/(1+0.15)^4,Financial_Model!G16/(1+0.15)^5)+(Financial_Model!G16*(1+0.04)/(0.15-0.04))/(1+0.15)^5</f>
        <v>49722321.066153117</v>
      </c>
    </row>
    <row r="15" spans="1:8" ht="15" customHeight="1" x14ac:dyDescent="0.3">
      <c r="A15" s="54">
        <v>0.05</v>
      </c>
      <c r="B15" s="14">
        <f>SUM(Financial_Model!C16/(1+0.09)^1,Financial_Model!D16/(1+0.09)^2,Financial_Model!E16/(1+0.09)^3,Financial_Model!F16/(1+0.09)^4,Financial_Model!G16/(1+0.09)^5)+(Financial_Model!G16*(1+0.05)/(0.09-0.05))/(1+0.09)^5</f>
        <v>135877903.86617926</v>
      </c>
      <c r="C15" s="14">
        <f>SUM(Financial_Model!C16/(1+0.1)^1,Financial_Model!D16/(1+0.1)^2,Financial_Model!E16/(1+0.1)^3,Financial_Model!F16/(1+0.1)^4,Financial_Model!G16/(1+0.1)^5)+(Financial_Model!G16*(1+0.05)/(0.1-0.05))/(1+0.1)^5</f>
        <v>108288534.79036497</v>
      </c>
      <c r="D15" s="14">
        <f>SUM(Financial_Model!C16/(1+0.11)^1,Financial_Model!D16/(1+0.11)^2,Financial_Model!E16/(1+0.11)^3,Financial_Model!F16/(1+0.11)^4,Financial_Model!G16/(1+0.11)^5)+(Financial_Model!G16*(1+0.05)/(0.11-0.05))/(1+0.11)^5</f>
        <v>89907878.970621914</v>
      </c>
      <c r="E15" s="14">
        <f>SUM(Financial_Model!C16/(1+0.12)^1,Financial_Model!D16/(1+0.12)^2,Financial_Model!E16/(1+0.12)^3,Financial_Model!F16/(1+0.12)^4,Financial_Model!G16/(1+0.12)^5)+(Financial_Model!G16*(1+0.05)/(0.12-0.05))/(1+0.12)^5</f>
        <v>76788859.172492683</v>
      </c>
      <c r="F15" s="14">
        <f>SUM(Financial_Model!C16/(1+0.13)^1,Financial_Model!D16/(1+0.13)^2,Financial_Model!E16/(1+0.13)^3,Financial_Model!F16/(1+0.13)^4,Financial_Model!G16/(1+0.13)^5)+(Financial_Model!G16*(1+0.05)/(0.13-0.05))/(1+0.13)^5</f>
        <v>66957960.53484831</v>
      </c>
      <c r="G15" s="14">
        <f>SUM(Financial_Model!C16/(1+0.14)^1,Financial_Model!D16/(1+0.14)^2,Financial_Model!E16/(1+0.14)^3,Financial_Model!F16/(1+0.14)^4,Financial_Model!G16/(1+0.14)^5)+(Financial_Model!G16*(1+0.05)/(0.14-0.05))/(1+0.14)^5</f>
        <v>59318805.658263296</v>
      </c>
      <c r="H15" s="14">
        <f>SUM(Financial_Model!C16/(1+0.15)^1,Financial_Model!D16/(1+0.15)^2,Financial_Model!E16/(1+0.15)^3,Financial_Model!F16/(1+0.15)^4,Financial_Model!G16/(1+0.15)^5)+(Financial_Model!G16*(1+0.05)/(0.15-0.05))/(1+0.15)^5</f>
        <v>53213584.731120482</v>
      </c>
    </row>
    <row r="16" spans="1:8" ht="15" customHeight="1" x14ac:dyDescent="0.3">
      <c r="A16" s="54">
        <v>0.06</v>
      </c>
      <c r="B16" s="9">
        <f>SUM(Financial_Model!C16/(1+0.09)^1,Financial_Model!D16/(1+0.09)^2,Financial_Model!E16/(1+0.09)^3,Financial_Model!F16/(1+0.09)^4,Financial_Model!G16/(1+0.09)^5)+(Financial_Model!G16*(1+0.06)/(0.09-0.06))/(1+0.09)^5</f>
        <v>175531214.96939164</v>
      </c>
      <c r="C16" s="9">
        <f>SUM(Financial_Model!C16/(1+0.1)^1,Financial_Model!D16/(1+0.1)^2,Financial_Model!E16/(1+0.1)^3,Financial_Model!F16/(1+0.1)^4,Financial_Model!G16/(1+0.1)^5)+(Financial_Model!G16*(1+0.06)/(0.1-0.06))/(1+0.1)^5</f>
        <v>131227084.64170165</v>
      </c>
      <c r="D16" s="9">
        <f>SUM(Financial_Model!C16/(1+0.11)^1,Financial_Model!D16/(1+0.11)^2,Financial_Model!E16/(1+0.11)^3,Financial_Model!F16/(1+0.11)^4,Financial_Model!G16/(1+0.11)^5)+(Financial_Model!G16*(1+0.06)/(0.11-0.06))/(1+0.11)^5</f>
        <v>104656571.61628214</v>
      </c>
      <c r="E16" s="9">
        <f>SUM(Financial_Model!C16/(1+0.12)^1,Financial_Model!D16/(1+0.12)^2,Financial_Model!E16/(1+0.12)^3,Financial_Model!F16/(1+0.12)^4,Financial_Model!G16/(1+0.12)^5)+(Financial_Model!G16*(1+0.06)/(0.12-0.06))/(1+0.12)^5</f>
        <v>86952406.504997313</v>
      </c>
      <c r="F16" s="9">
        <f>SUM(Financial_Model!C16/(1+0.13)^1,Financial_Model!D16/(1+0.13)^2,Financial_Model!E16/(1+0.13)^3,Financial_Model!F16/(1+0.13)^4,Financial_Model!G16/(1+0.13)^5)+(Financial_Model!G16*(1+0.06)/(0.13-0.06))/(1+0.13)^5</f>
        <v>74314353.055963278</v>
      </c>
      <c r="G16" s="9">
        <f>SUM(Financial_Model!C16/(1+0.14)^1,Financial_Model!D16/(1+0.14)^2,Financial_Model!E16/(1+0.14)^3,Financial_Model!F16/(1+0.14)^4,Financial_Model!G16/(1+0.14)^5)+(Financial_Model!G16*(1+0.06)/(0.14-0.06))/(1+0.14)^5</f>
        <v>64842311.190892652</v>
      </c>
      <c r="H16" s="9">
        <f>SUM(Financial_Model!C16/(1+0.15)^1,Financial_Model!D16/(1+0.15)^2,Financial_Model!E16/(1+0.15)^3,Financial_Model!F16/(1+0.15)^4,Financial_Model!G16/(1+0.15)^5)+(Financial_Model!G16*(1+0.06)/(0.15-0.06))/(1+0.15)^5</f>
        <v>57480684.766080596</v>
      </c>
    </row>
    <row r="18" spans="1:8" ht="15" customHeight="1" x14ac:dyDescent="0.3">
      <c r="A18" s="20" t="s">
        <v>177</v>
      </c>
      <c r="B18" s="73"/>
      <c r="C18" s="73"/>
      <c r="D18" s="73"/>
      <c r="E18" s="73"/>
      <c r="F18" s="73"/>
      <c r="G18" s="73"/>
      <c r="H18" s="73"/>
    </row>
    <row r="19" spans="1:8" ht="15" customHeight="1" x14ac:dyDescent="0.3">
      <c r="A19" s="26" t="s">
        <v>178</v>
      </c>
      <c r="B19" s="26" t="s">
        <v>179</v>
      </c>
      <c r="C19" s="26" t="s">
        <v>180</v>
      </c>
      <c r="D19" s="26" t="s">
        <v>83</v>
      </c>
      <c r="E19" s="26" t="s">
        <v>181</v>
      </c>
      <c r="F19" s="26" t="s">
        <v>182</v>
      </c>
      <c r="G19" s="26" t="s">
        <v>183</v>
      </c>
    </row>
    <row r="20" spans="1:8" ht="15" customHeight="1" x14ac:dyDescent="0.3">
      <c r="A20" s="55" t="s">
        <v>197</v>
      </c>
      <c r="B20" s="56">
        <v>0.15</v>
      </c>
      <c r="C20" s="56">
        <v>0.04</v>
      </c>
      <c r="D20" s="56">
        <v>0.1</v>
      </c>
      <c r="E20" s="57">
        <f>Financial_Model!$B$3*(1+B20)^5</f>
        <v>22622385.806632675</v>
      </c>
      <c r="F20" s="57">
        <f>E20*(1-C20)*5*0.3</f>
        <v>32576235.561551049</v>
      </c>
      <c r="G20" s="57">
        <f>IFERROR(F20*(1+Assumptions!$B$9)/(D20-Assumptions!$B$9),0)</f>
        <v>-32576414.730936226</v>
      </c>
    </row>
    <row r="21" spans="1:8" ht="15" customHeight="1" x14ac:dyDescent="0.3">
      <c r="A21" s="58" t="s">
        <v>198</v>
      </c>
      <c r="B21" s="59">
        <v>0.08</v>
      </c>
      <c r="C21" s="59">
        <v>0.06</v>
      </c>
      <c r="D21" s="59">
        <v>0.12</v>
      </c>
      <c r="E21" s="60">
        <f>Financial_Model!$B$3*(1+B21)^5</f>
        <v>16526008.824520245</v>
      </c>
      <c r="F21" s="60">
        <f>E21*(1-C21)*5*0.3</f>
        <v>23301672.442573544</v>
      </c>
      <c r="G21" s="60">
        <f>IFERROR(F21*(1+Assumptions!$B$9)/(D21-Assumptions!$B$9),0)</f>
        <v>-23301802.932017516</v>
      </c>
    </row>
    <row r="22" spans="1:8" ht="15" customHeight="1" x14ac:dyDescent="0.3">
      <c r="A22" s="61" t="s">
        <v>199</v>
      </c>
      <c r="B22" s="62">
        <v>0.04</v>
      </c>
      <c r="C22" s="62">
        <v>0.09</v>
      </c>
      <c r="D22" s="62">
        <v>0.14000000000000001</v>
      </c>
      <c r="E22" s="63">
        <f>Financial_Model!$B$3*(1+B22)^5</f>
        <v>13684089.291500954</v>
      </c>
      <c r="F22" s="63">
        <f>E22*(1-C22)*5*0.3</f>
        <v>18678781.882898804</v>
      </c>
      <c r="G22" s="63">
        <f>IFERROR(F22*(1+Assumptions!$B$9)/(D22-Assumptions!$B$9),0)</f>
        <v>-18678888.352030065</v>
      </c>
    </row>
    <row r="23" spans="1:8" ht="15" customHeight="1" x14ac:dyDescent="0.3">
      <c r="A23" s="64" t="s">
        <v>200</v>
      </c>
      <c r="B23" s="65">
        <v>0</v>
      </c>
      <c r="C23" s="65">
        <v>0.12</v>
      </c>
      <c r="D23" s="65">
        <v>0.16</v>
      </c>
      <c r="E23" s="66">
        <f>Financial_Model!$B$3*(1+B23)^5</f>
        <v>11247323.920000004</v>
      </c>
      <c r="F23" s="66">
        <f>E23*(1-C23)*5*0.3</f>
        <v>14846467.574400006</v>
      </c>
      <c r="G23" s="66">
        <f>IFERROR(F23*(1+Assumptions!$B$9)/(D23-Assumptions!$B$9),0)</f>
        <v>-14846553.683980826</v>
      </c>
    </row>
  </sheetData>
  <mergeCells count="4">
    <mergeCell ref="A1:H1"/>
    <mergeCell ref="B2:H2"/>
    <mergeCell ref="B10:H10"/>
    <mergeCell ref="B18:H18"/>
  </mergeCells>
  <conditionalFormatting sqref="B4:H8">
    <cfRule type="colorScale" priority="2">
      <colorScale>
        <cfvo type="min"/>
        <cfvo type="percentile" val="50"/>
        <cfvo type="max"/>
        <color rgb="FFC0392B"/>
        <color rgb="FFF7DC6F"/>
        <color rgb="FF1E8449"/>
      </colorScale>
    </cfRule>
  </conditionalFormatting>
  <conditionalFormatting sqref="B12:H16">
    <cfRule type="colorScale" priority="3">
      <colorScale>
        <cfvo type="min"/>
        <cfvo type="percentile" val="50"/>
        <cfvo type="max"/>
        <color rgb="FFC0392B"/>
        <color rgb="FFF7DC6F"/>
        <color rgb="FF1E8449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A"/>
  </sheetPr>
  <dimension ref="A1:J23"/>
  <sheetViews>
    <sheetView showGridLines="0" tabSelected="1" topLeftCell="A12" zoomScale="92" zoomScaleNormal="92" workbookViewId="0">
      <selection activeCell="A15" sqref="A15:I15"/>
    </sheetView>
  </sheetViews>
  <sheetFormatPr defaultColWidth="8.6640625" defaultRowHeight="14.4" x14ac:dyDescent="0.3"/>
  <cols>
    <col min="1" max="1" width="22" style="1" customWidth="1"/>
    <col min="2" max="4" width="14" style="1" customWidth="1"/>
    <col min="5" max="5" width="18.5546875" style="1" bestFit="1" customWidth="1"/>
    <col min="6" max="6" width="14" style="1" customWidth="1"/>
    <col min="7" max="7" width="19.109375" style="1" bestFit="1" customWidth="1"/>
    <col min="8" max="9" width="14" style="1" customWidth="1"/>
    <col min="2000" max="2000" width="2.5546875" customWidth="1"/>
  </cols>
  <sheetData>
    <row r="1" spans="1:10" ht="36" customHeight="1" x14ac:dyDescent="0.3">
      <c r="A1" s="75" t="s">
        <v>184</v>
      </c>
      <c r="B1" s="75"/>
      <c r="C1" s="75"/>
      <c r="D1" s="75"/>
      <c r="E1" s="75"/>
      <c r="F1" s="75"/>
      <c r="G1" s="75"/>
      <c r="H1" s="75"/>
      <c r="I1" s="75"/>
      <c r="J1" s="75"/>
    </row>
    <row r="3" spans="1:10" ht="21.75" customHeight="1" x14ac:dyDescent="0.3">
      <c r="A3" s="67" t="s">
        <v>39</v>
      </c>
      <c r="C3" s="67" t="s">
        <v>41</v>
      </c>
      <c r="E3" s="67" t="s">
        <v>42</v>
      </c>
      <c r="G3" s="67" t="s">
        <v>185</v>
      </c>
      <c r="I3" s="67" t="s">
        <v>186</v>
      </c>
    </row>
    <row r="4" spans="1:10" ht="27.75" customHeight="1" x14ac:dyDescent="0.3">
      <c r="A4" s="68">
        <f>Calculations!B3</f>
        <v>11247323.920000004</v>
      </c>
      <c r="C4" s="68">
        <f>Calculations!B4</f>
        <v>5657718.6400000006</v>
      </c>
      <c r="E4" s="69">
        <f>Calculations!B6</f>
        <v>0.46284394274923074</v>
      </c>
      <c r="G4" s="68">
        <f>Valuation_DCF!B16</f>
        <v>69166198.67311421</v>
      </c>
      <c r="I4" s="70">
        <f>Valuation_DCF!B17</f>
        <v>12.37407566516292</v>
      </c>
    </row>
    <row r="6" spans="1:10" ht="15" customHeight="1" x14ac:dyDescent="0.3">
      <c r="A6" s="74" t="s">
        <v>187</v>
      </c>
      <c r="B6" s="74"/>
      <c r="C6" s="74"/>
      <c r="D6" s="74"/>
      <c r="E6" s="74"/>
    </row>
    <row r="7" spans="1:10" ht="15" customHeight="1" x14ac:dyDescent="0.3">
      <c r="A7" s="26" t="s">
        <v>7</v>
      </c>
      <c r="B7" s="26" t="s">
        <v>12</v>
      </c>
      <c r="C7" s="26" t="s">
        <v>14</v>
      </c>
      <c r="D7" s="26" t="s">
        <v>15</v>
      </c>
      <c r="E7" s="26" t="s">
        <v>188</v>
      </c>
    </row>
    <row r="8" spans="1:10" ht="15" customHeight="1" x14ac:dyDescent="0.3">
      <c r="A8" s="30" t="s">
        <v>20</v>
      </c>
      <c r="B8" s="22" t="str">
        <f>Calculations!B12</f>
        <v>Revenue ($)</v>
      </c>
      <c r="C8" s="22" t="str">
        <f>Calculations!D12</f>
        <v>Profit ($)</v>
      </c>
      <c r="D8" s="24" t="str">
        <f>Calculations!E12</f>
        <v>Margin (%)</v>
      </c>
      <c r="E8" s="24">
        <f>IFERROR(D8-AVERAGE(Calculations!E13:E17),0)</f>
        <v>0</v>
      </c>
    </row>
    <row r="9" spans="1:10" ht="15" customHeight="1" x14ac:dyDescent="0.3">
      <c r="A9" s="21" t="s">
        <v>21</v>
      </c>
      <c r="B9" s="27">
        <f>Calculations!B13</f>
        <v>1744945.49</v>
      </c>
      <c r="C9" s="27">
        <f>Calculations!D13</f>
        <v>766192.98</v>
      </c>
      <c r="D9" s="28">
        <f>Calculations!E13</f>
        <v>0.4390927879357423</v>
      </c>
      <c r="E9" s="28">
        <f>IFERROR(D9-AVERAGE(Calculations!E13:E17),0)</f>
        <v>-5.6280420254069596E-2</v>
      </c>
    </row>
    <row r="10" spans="1:10" ht="15" customHeight="1" x14ac:dyDescent="0.3">
      <c r="A10" s="30" t="s">
        <v>18</v>
      </c>
      <c r="B10" s="22">
        <f>Calculations!B14</f>
        <v>2422198.9399999995</v>
      </c>
      <c r="C10" s="22">
        <f>Calculations!D14</f>
        <v>1234702.83</v>
      </c>
      <c r="D10" s="24">
        <f>Calculations!E14</f>
        <v>0.50974460008639932</v>
      </c>
      <c r="E10" s="24">
        <f>IFERROR(D10-AVERAGE(Calculations!E13:E17),0)</f>
        <v>1.4371391896587427E-2</v>
      </c>
    </row>
    <row r="11" spans="1:10" ht="15" customHeight="1" x14ac:dyDescent="0.3">
      <c r="A11" s="21" t="s">
        <v>27</v>
      </c>
      <c r="B11" s="27">
        <f>Calculations!B15</f>
        <v>2188732.0599999996</v>
      </c>
      <c r="C11" s="27">
        <f>Calculations!D15</f>
        <v>1125451.8599999999</v>
      </c>
      <c r="D11" s="28">
        <f>Calculations!E15</f>
        <v>0.5142026658119131</v>
      </c>
      <c r="E11" s="28">
        <f>IFERROR(D11-AVERAGE(Calculations!E13:E17),0)</f>
        <v>1.8829457622101198E-2</v>
      </c>
    </row>
    <row r="12" spans="1:10" ht="15" customHeight="1" x14ac:dyDescent="0.3">
      <c r="A12" s="30" t="s">
        <v>31</v>
      </c>
      <c r="B12" s="22">
        <f>Calculations!B16</f>
        <v>2796225.54</v>
      </c>
      <c r="C12" s="22">
        <f>Calculations!D16</f>
        <v>1352501.3599999999</v>
      </c>
      <c r="D12" s="24">
        <f>Calculations!E16</f>
        <v>0.48368822208812234</v>
      </c>
      <c r="E12" s="24">
        <f>IFERROR(D12-AVERAGE(Calculations!E13:E17),0)</f>
        <v>-1.1684986101689554E-2</v>
      </c>
    </row>
    <row r="15" spans="1:10" ht="15" customHeight="1" x14ac:dyDescent="0.3">
      <c r="A15" s="74" t="s">
        <v>189</v>
      </c>
      <c r="B15" s="74"/>
      <c r="C15" s="74"/>
      <c r="D15" s="74"/>
      <c r="E15" s="74"/>
      <c r="F15" s="74"/>
      <c r="G15" s="74"/>
      <c r="H15" s="74"/>
      <c r="I15" s="74"/>
    </row>
    <row r="16" spans="1:10" ht="15" customHeight="1" x14ac:dyDescent="0.3">
      <c r="A16" s="26" t="s">
        <v>99</v>
      </c>
      <c r="B16" s="26" t="s">
        <v>190</v>
      </c>
      <c r="C16" s="26" t="s">
        <v>191</v>
      </c>
      <c r="D16" s="26" t="s">
        <v>192</v>
      </c>
      <c r="E16" s="26" t="s">
        <v>193</v>
      </c>
      <c r="F16" s="26" t="s">
        <v>194</v>
      </c>
      <c r="G16" s="26" t="s">
        <v>195</v>
      </c>
      <c r="H16" s="26" t="s">
        <v>106</v>
      </c>
      <c r="I16" s="26"/>
    </row>
    <row r="17" spans="1:9" ht="15" customHeight="1" x14ac:dyDescent="0.3">
      <c r="A17" s="21" t="s">
        <v>12</v>
      </c>
      <c r="B17" s="27">
        <f>Financial_Model!B3</f>
        <v>11247323.920000004</v>
      </c>
      <c r="C17" s="27">
        <f>Financial_Model!C3</f>
        <v>12147109.833600005</v>
      </c>
      <c r="D17" s="27">
        <f>Financial_Model!D3</f>
        <v>13118878.620288007</v>
      </c>
      <c r="E17" s="27">
        <f>Financial_Model!E3</f>
        <v>14168388.909911048</v>
      </c>
      <c r="F17" s="27">
        <f>Financial_Model!F3</f>
        <v>15301860.022703933</v>
      </c>
      <c r="G17" s="27">
        <f>Financial_Model!G3</f>
        <v>16526008.824520249</v>
      </c>
      <c r="H17" s="27">
        <f>Financial_Model!H3</f>
        <v>8.0000000000000071E-2</v>
      </c>
    </row>
    <row r="18" spans="1:9" ht="15" customHeight="1" x14ac:dyDescent="0.3">
      <c r="A18" s="30" t="s">
        <v>121</v>
      </c>
      <c r="B18" s="22">
        <f>Financial_Model!B10</f>
        <v>4471684.2240000023</v>
      </c>
      <c r="C18" s="22">
        <f>Financial_Model!C10</f>
        <v>4919942.460160004</v>
      </c>
      <c r="D18" s="22">
        <f>Financial_Model!D10</f>
        <v>5409492.7651072051</v>
      </c>
      <c r="E18" s="22">
        <f>Financial_Model!E10</f>
        <v>5943964.3889382454</v>
      </c>
      <c r="F18" s="22">
        <f>Financial_Model!F10</f>
        <v>6527296.4748331178</v>
      </c>
      <c r="G18" s="22">
        <f>Financial_Model!G10</f>
        <v>7163764.0236863689</v>
      </c>
      <c r="H18" s="22">
        <f>Financial_Model!H10</f>
        <v>9.8838908476980292E-2</v>
      </c>
    </row>
    <row r="19" spans="1:9" ht="15" customHeight="1" x14ac:dyDescent="0.3">
      <c r="A19" s="21" t="s">
        <v>196</v>
      </c>
      <c r="B19" s="27">
        <f>Financial_Model!B16</f>
        <v>4171684.2240000023</v>
      </c>
      <c r="C19" s="27">
        <f>Financial_Model!C16</f>
        <v>4511968.1505280035</v>
      </c>
      <c r="D19" s="27">
        <f>Financial_Model!D16</f>
        <v>4992880.510704645</v>
      </c>
      <c r="E19" s="27">
        <f>Financial_Model!E16</f>
        <v>5518023.1541834809</v>
      </c>
      <c r="F19" s="27">
        <f>Financial_Model!F16</f>
        <v>6091279.9412979716</v>
      </c>
      <c r="G19" s="27">
        <f>Financial_Model!G16</f>
        <v>6716866.1674684109</v>
      </c>
      <c r="H19" s="27">
        <f>Financial_Model!H16</f>
        <v>9.994521205805551E-2</v>
      </c>
    </row>
    <row r="22" spans="1:9" ht="15" customHeight="1" x14ac:dyDescent="0.3">
      <c r="A22" s="87"/>
      <c r="B22" s="87"/>
      <c r="C22" s="87"/>
      <c r="D22" s="87"/>
      <c r="E22" s="87"/>
      <c r="F22" s="87"/>
      <c r="G22" s="87"/>
      <c r="H22" s="87"/>
      <c r="I22" s="87"/>
    </row>
    <row r="23" spans="1:9" ht="15" customHeight="1" x14ac:dyDescent="0.3">
      <c r="A23" s="88"/>
      <c r="B23" s="88"/>
      <c r="C23" s="88"/>
      <c r="D23" s="88"/>
      <c r="E23" s="88"/>
      <c r="F23" s="88"/>
      <c r="G23" s="89"/>
      <c r="H23" s="89"/>
      <c r="I23" s="89"/>
    </row>
  </sheetData>
  <mergeCells count="4">
    <mergeCell ref="A1:J1"/>
    <mergeCell ref="A6:E6"/>
    <mergeCell ref="A15:I15"/>
    <mergeCell ref="A22:I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Calculations</vt:lpstr>
      <vt:lpstr>Assumptions</vt:lpstr>
      <vt:lpstr>Financial_Model</vt:lpstr>
      <vt:lpstr>Valuation_DCF</vt:lpstr>
      <vt:lpstr>Comps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nusrat8496@gmail.com</cp:lastModifiedBy>
  <cp:revision>5</cp:revision>
  <dcterms:created xsi:type="dcterms:W3CDTF">2026-05-05T19:52:25Z</dcterms:created>
  <dcterms:modified xsi:type="dcterms:W3CDTF">2026-05-06T08:14:39Z</dcterms:modified>
  <dc:language>en-US</dc:language>
</cp:coreProperties>
</file>